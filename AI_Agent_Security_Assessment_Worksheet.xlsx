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2.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Assessment" sheetId="2" state="visible" r:id="rId4"/>
    <sheet name="Summary" sheetId="3" state="visible" r:id="rId5"/>
    <sheet name="Checklist" sheetId="4" state="visible" r:id="rId6"/>
    <sheet name="Data Handling" sheetId="5" state="visible" r:id="rId7"/>
    <sheet name="Lists" sheetId="6" state="hidden" r:id="rId8"/>
  </sheets>
  <definedNames>
    <definedName function="false" hidden="false" localSheetId="1" name="_xlnm.Print_Titles" vbProcedure="false">Assessment!$4:$4</definedName>
    <definedName function="false" hidden="true" localSheetId="1" name="_xlnm._FilterDatabase" vbProcedure="false">Assessment!$A$4:$R$84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4" authorId="0">
      <text>
        <r>
          <rPr>
            <sz val="10"/>
            <rFont val="Arial"/>
            <family val="2"/>
          </rPr>
          <t xml:space="preserve">Worksheet default based on typical blast radius; not set by ISACA. Adjust per agent.</t>
        </r>
      </text>
    </comment>
  </commentList>
</comments>
</file>

<file path=xl/sharedStrings.xml><?xml version="1.0" encoding="utf-8"?>
<sst xmlns="http://schemas.openxmlformats.org/spreadsheetml/2006/main" count="883" uniqueCount="468">
  <si>
    <t xml:space="preserve">AI Agent Security Assessment Worksheet</t>
  </si>
  <si>
    <t xml:space="preserve">Based on ISACA, Cybersecurity Recommendations for Securing AI Agents (2026): 11 practice categories, 80 controls (Figure 3), the 15-item Secure by Default checklist (Figure 4), and the Appendix A data handling guide.</t>
  </si>
  <si>
    <t xml:space="preserve">ASSESSMENT SCOPE</t>
  </si>
  <si>
    <t xml:space="preserve">Organization</t>
  </si>
  <si>
    <t xml:space="preserve">Agent(s) / system in scope</t>
  </si>
  <si>
    <t xml:space="preserve">Agent description &amp; autonomy level</t>
  </si>
  <si>
    <t xml:space="preserve">Assessor</t>
  </si>
  <si>
    <t xml:space="preserve">Assessment date</t>
  </si>
  <si>
    <t xml:space="preserve">Version / status</t>
  </si>
  <si>
    <t xml:space="preserve">HOW TO USE</t>
  </si>
  <si>
    <t xml:space="preserve">1. Scope</t>
  </si>
  <si>
    <t xml:space="preserve">Complete the scope block above. Use one copy of this workbook per agent, or per group of agents sharing one runtime and toolset, because controls such as sandboxing and the PEP differ by agent.</t>
  </si>
  <si>
    <t xml:space="preserve">2. Assess</t>
  </si>
  <si>
    <t xml:space="preserve">On the Assessment tab, set Status and Maturity for each control, then record evidence, owner, and observations. Only yellow cells are inputs; grey cells calculate.</t>
  </si>
  <si>
    <t xml:space="preserve">3. Prioritize</t>
  </si>
  <si>
    <t xml:space="preserve">Suggested Criticality is a starting default. Adjust it to the agent's actual blast radius (a read-only summarizer vs. an agent with write access to production). Gap Priority recalculates automatically.</t>
  </si>
  <si>
    <t xml:space="preserve">4. Data</t>
  </si>
  <si>
    <t xml:space="preserve">On the Data Handling tab, decide what each data class may do inside the agent (context, memory, logs, external provider). This is the evidence for DAT-03.</t>
  </si>
  <si>
    <t xml:space="preserve">5. Review</t>
  </si>
  <si>
    <t xml:space="preserve">Summary rolls coverage up by practice category. Checklist rolls the 80 controls up to ISACA's 15 Secure by Default items. Filter the Assessment tab on Gap Priority = P1 to start the remediation plan.</t>
  </si>
  <si>
    <t xml:space="preserve">LEGEND</t>
  </si>
  <si>
    <t xml:space="preserve">Input cell</t>
  </si>
  <si>
    <t xml:space="preserve">Fill in or select from the dropdown.</t>
  </si>
  <si>
    <t xml:space="preserve">Calculated cell</t>
  </si>
  <si>
    <t xml:space="preserve">Formula; do not overwrite.</t>
  </si>
  <si>
    <t xml:space="preserve">STATUS &amp; SCORING</t>
  </si>
  <si>
    <t xml:space="preserve">Implemented</t>
  </si>
  <si>
    <t xml:space="preserve">Control is in place, operating, and evidenced. Score 1.0.</t>
  </si>
  <si>
    <t xml:space="preserve">Partially Implemented</t>
  </si>
  <si>
    <t xml:space="preserve">Covers only some agents, tools, or environments, is undocumented, or has no evidence that it operates. Score 0.5.</t>
  </si>
  <si>
    <t xml:space="preserve">Not Implemented</t>
  </si>
  <si>
    <t xml:space="preserve">Control is absent. Score 0.</t>
  </si>
  <si>
    <t xml:space="preserve">Not Applicable</t>
  </si>
  <si>
    <t xml:space="preserve">Excluded from scoring. Record the justification in Gap / Observations (e.g., the agent has no persistent memory).</t>
  </si>
  <si>
    <t xml:space="preserve">Coverage %</t>
  </si>
  <si>
    <t xml:space="preserve">(Implemented + 0.5 × Partial) ÷ applicable controls assessed.</t>
  </si>
  <si>
    <t xml:space="preserve">MATURITY (0–5)</t>
  </si>
  <si>
    <t xml:space="preserve">0 – Non-existent</t>
  </si>
  <si>
    <t xml:space="preserve">No control or awareness.</t>
  </si>
  <si>
    <t xml:space="preserve">1 – Initial</t>
  </si>
  <si>
    <t xml:space="preserve">Ad hoc, person-dependent.</t>
  </si>
  <si>
    <t xml:space="preserve">2 – Repeatable</t>
  </si>
  <si>
    <t xml:space="preserve">Performed consistently but not documented.</t>
  </si>
  <si>
    <t xml:space="preserve">3 – Defined</t>
  </si>
  <si>
    <t xml:space="preserve">Documented, standardized, owned.</t>
  </si>
  <si>
    <t xml:space="preserve">4 – Managed</t>
  </si>
  <si>
    <t xml:space="preserve">Measured and monitored, with metrics and review.</t>
  </si>
  <si>
    <t xml:space="preserve">5 – Optimized</t>
  </si>
  <si>
    <t xml:space="preserve">Continuously improved; automated where possible.</t>
  </si>
  <si>
    <t xml:space="preserve">GAP PRIORITY LOGIC</t>
  </si>
  <si>
    <t xml:space="preserve">P1</t>
  </si>
  <si>
    <t xml:space="preserve">High criticality and Not Implemented.</t>
  </si>
  <si>
    <t xml:space="preserve">P2</t>
  </si>
  <si>
    <t xml:space="preserve">High criticality and Partial, or Medium criticality and Not Implemented.</t>
  </si>
  <si>
    <t xml:space="preserve">P3</t>
  </si>
  <si>
    <t xml:space="preserve">All other gaps.</t>
  </si>
  <si>
    <t xml:space="preserve">(blank)</t>
  </si>
  <si>
    <t xml:space="preserve">Implemented, Not Applicable, or not yet assessed.</t>
  </si>
  <si>
    <t xml:space="preserve">EXAMPLE ROW (format guide only)</t>
  </si>
  <si>
    <t xml:space="preserve">Control</t>
  </si>
  <si>
    <t xml:space="preserve">IAM-03 — Are short-lived credentials issued with automatic rotation?</t>
  </si>
  <si>
    <t xml:space="preserve">Status / Maturity</t>
  </si>
  <si>
    <t xml:space="preserve">Partially Implemented / 2</t>
  </si>
  <si>
    <t xml:space="preserve">Evidence</t>
  </si>
  <si>
    <t xml:space="preserve">Vault dynamic secrets config (screenshot 2026-10-20); 1-hour TTL on support-agent DB credentials</t>
  </si>
  <si>
    <t xml:space="preserve">Owner</t>
  </si>
  <si>
    <t xml:space="preserve">Platform Engineering Lead</t>
  </si>
  <si>
    <t xml:space="preserve">Gap / Observations</t>
  </si>
  <si>
    <t xml:space="preserve">Ticketing integration still uses a static API key created in 2025; no rotation</t>
  </si>
  <si>
    <t xml:space="preserve">Remediation</t>
  </si>
  <si>
    <t xml:space="preserve">Move ticketing tool to OAuth client credentials with 1-hour tokens; revoke static key</t>
  </si>
  <si>
    <t xml:space="preserve">Target date</t>
  </si>
  <si>
    <t xml:space="preserve">2026-12-15</t>
  </si>
  <si>
    <t xml:space="preserve">NOTES ON THIS WORKSHEET</t>
  </si>
  <si>
    <t xml:space="preserve">Control wording is lightly rephrased as assessment questions from ISACA Figure 3. The Secure by Default # column links each control to the Figure 4 checklist item it supports; '—' means the control supports none directly. That mapping is the worksheet author's, not ISACA's.</t>
  </si>
  <si>
    <t xml:space="preserve">Suggested Criticality, the maturity scale, scoring, and Gap Priority logic were added for this worksheet; ISACA does not prescribe them.</t>
  </si>
  <si>
    <t xml:space="preserve">The ISO/IEC 42001 Annex A, ISO/IEC 27001:2022 Annex A, and OWASP Top 10 for LLM Applications (2025) columns are indicative cross-references, not part of the ISACA paper. Validate them before using them as audit or certification evidence. '—' means there is no clean single-control fit.</t>
  </si>
  <si>
    <t xml:space="preserve">ISACA repeats some controls across categories (e.g., separating reasoning from execution appears in both Secure AI Development and Segmentation). They stay in place so category scores match the paper. The See Also column links the overlaps so evidence can be reused.</t>
  </si>
  <si>
    <t xml:space="preserve">AI Agent Security Assessment — Controls</t>
  </si>
  <si>
    <t xml:space="preserve">ID</t>
  </si>
  <si>
    <t xml:space="preserve">Practice Category</t>
  </si>
  <si>
    <t xml:space="preserve">Control (assessment question)</t>
  </si>
  <si>
    <t xml:space="preserve">Secure by Default #</t>
  </si>
  <si>
    <t xml:space="preserve">Suggested Criticality</t>
  </si>
  <si>
    <t xml:space="preserve">Status</t>
  </si>
  <si>
    <t xml:space="preserve">Maturity (0–5)</t>
  </si>
  <si>
    <t xml:space="preserve">Score</t>
  </si>
  <si>
    <t xml:space="preserve">Evidence / Artifacts</t>
  </si>
  <si>
    <t xml:space="preserve">Remediation Action</t>
  </si>
  <si>
    <t xml:space="preserve">Gap Priority</t>
  </si>
  <si>
    <t xml:space="preserve">Target Date</t>
  </si>
  <si>
    <t xml:space="preserve">See Also</t>
  </si>
  <si>
    <t xml:space="preserve">ISO/IEC 42001 Annex A</t>
  </si>
  <si>
    <t xml:space="preserve">ISO/IEC 27001:2022 Annex A</t>
  </si>
  <si>
    <t xml:space="preserve">OWASP LLM Top 10 (2025)</t>
  </si>
  <si>
    <t xml:space="preserve">GOV-01</t>
  </si>
  <si>
    <t xml:space="preserve">Governance, Asset Inventory, and Risk Ownership</t>
  </si>
  <si>
    <t xml:space="preserve">Is a current inventory maintained of every AI agent and its models, tools, plugins, vector stores, memory stores, data sources, data lineage documents, and external providers?</t>
  </si>
  <si>
    <t xml:space="preserve">High</t>
  </si>
  <si>
    <t xml:space="preserve">—</t>
  </si>
  <si>
    <t xml:space="preserve">A.4.2, A.4.3, A.4.4</t>
  </si>
  <si>
    <t xml:space="preserve">5.9</t>
  </si>
  <si>
    <t xml:space="preserve">GOV-02</t>
  </si>
  <si>
    <t xml:space="preserve">Are trust boundaries documented across users, the agent runtime, the model provider, the orchestration layer, the tool execution layer, enterprise systems, and human approval interfaces?</t>
  </si>
  <si>
    <t xml:space="preserve">SDL-02</t>
  </si>
  <si>
    <t xml:space="preserve">A.6.2.3</t>
  </si>
  <si>
    <t xml:space="preserve">8.27</t>
  </si>
  <si>
    <t xml:space="preserve">LLM01, LLM06</t>
  </si>
  <si>
    <t xml:space="preserve">GOV-03</t>
  </si>
  <si>
    <t xml:space="preserve">Is clear control ownership assigned for deployment approval, tool access scope, monitoring, incident response, and risk acceptance?</t>
  </si>
  <si>
    <t xml:space="preserve">A.3.2</t>
  </si>
  <si>
    <t xml:space="preserve">5.2</t>
  </si>
  <si>
    <t xml:space="preserve">GOV-04</t>
  </si>
  <si>
    <t xml:space="preserve">Does each agent have an established identity, acceptable use policy, prohibited actions, and clear agent goals?</t>
  </si>
  <si>
    <t xml:space="preserve">IAM-01</t>
  </si>
  <si>
    <t xml:space="preserve">A.9.2, A.9.4</t>
  </si>
  <si>
    <t xml:space="preserve">5.10</t>
  </si>
  <si>
    <t xml:space="preserve">LLM06</t>
  </si>
  <si>
    <t xml:space="preserve">GOV-05</t>
  </si>
  <si>
    <t xml:space="preserve">Are periodic security and risk reviews required before agent capabilities are expanded?</t>
  </si>
  <si>
    <t xml:space="preserve">Medium</t>
  </si>
  <si>
    <t xml:space="preserve">SDL-11</t>
  </si>
  <si>
    <t xml:space="preserve">A.5.2</t>
  </si>
  <si>
    <t xml:space="preserve">5.8</t>
  </si>
  <si>
    <t xml:space="preserve">GOV-06</t>
  </si>
  <si>
    <t xml:space="preserve">Is agent governance aligned to enterprise security, privacy, legal, and third-party risk programs?</t>
  </si>
  <si>
    <t xml:space="preserve">SUP-04</t>
  </si>
  <si>
    <t xml:space="preserve">A.2.3, A.10.3</t>
  </si>
  <si>
    <t xml:space="preserve">5.1, 5.19</t>
  </si>
  <si>
    <t xml:space="preserve">SDL-01</t>
  </si>
  <si>
    <t xml:space="preserve">Secure AI Development, Change Management, and Continuous Assurance</t>
  </si>
  <si>
    <t xml:space="preserve">Are AI agents integrated into the secure SDLC, applying secure-by-design and privacy-by-design principles with controlled development, testing, and production release processes?</t>
  </si>
  <si>
    <t xml:space="preserve">A.6.1.3, A.6.2.5</t>
  </si>
  <si>
    <t xml:space="preserve">8.25, 8.31</t>
  </si>
  <si>
    <t xml:space="preserve">Is each agent workflow threat-modelled, including user input, retrieval, memory, inference, tool calls, APIs, human approvals, output delivery, tenant boundaries, and privileged actions?</t>
  </si>
  <si>
    <t xml:space="preserve">A.6.1.3, A.6.2.2</t>
  </si>
  <si>
    <t xml:space="preserve">SDL-03</t>
  </si>
  <si>
    <t xml:space="preserve">Are AI-specific threats addressed: prompt injection, indirect prompt injection, data exfiltration, SSRF, memory poisoning, cross-user/cross-tenant leakage, excessive permissions, malicious tool output, model inversion, unsafe file ingestion, and compromised third parties?</t>
  </si>
  <si>
    <t xml:space="preserve">PID-01</t>
  </si>
  <si>
    <t xml:space="preserve">A.6.1.3</t>
  </si>
  <si>
    <t xml:space="preserve">LLM01, LLM02, LLM04, LLM06, LLM08</t>
  </si>
  <si>
    <t xml:space="preserve">SDL-04</t>
  </si>
  <si>
    <t xml:space="preserve">Are reasoning, retrieval, and action execution separated into controlled stages, with least-privilege tool access, external policy enforcement, and explicit authorization for high-impact actions?</t>
  </si>
  <si>
    <t xml:space="preserve">SEG-07, POL-01</t>
  </si>
  <si>
    <t xml:space="preserve">A.6.2.2</t>
  </si>
  <si>
    <t xml:space="preserve">LLM05, LLM06</t>
  </si>
  <si>
    <t xml:space="preserve">SDL-05</t>
  </si>
  <si>
    <t xml:space="preserve">Is formal change management applied to prompts, models, policy logic, tool permissions, memory configuration, retrieval pipelines, orchestration logic, external providers, and action scope?</t>
  </si>
  <si>
    <t xml:space="preserve">SDL-11, SUP-03</t>
  </si>
  <si>
    <t xml:space="preserve">A.6.2.5</t>
  </si>
  <si>
    <t xml:space="preserve">8.32</t>
  </si>
  <si>
    <t xml:space="preserve">SDL-06</t>
  </si>
  <si>
    <t xml:space="preserve">Are version control, approval history, auditability, and rollback capability maintained for prompts, policies, model versions, orchestration logic, evaluation datasets, configurations, and IaC?</t>
  </si>
  <si>
    <t xml:space="preserve">RES-03</t>
  </si>
  <si>
    <t xml:space="preserve">A.6.2.7</t>
  </si>
  <si>
    <t xml:space="preserve">8.9, 8.32</t>
  </si>
  <si>
    <t xml:space="preserve">SDL-07</t>
  </si>
  <si>
    <t xml:space="preserve">Is conventional security testing performed: code review, SAST, DAST, SCA, API testing, secrets scanning, dependency scanning, IaC scanning, container scanning, and cloud configuration review?</t>
  </si>
  <si>
    <t xml:space="preserve">SUP-02</t>
  </si>
  <si>
    <t xml:space="preserve">A.6.2.4</t>
  </si>
  <si>
    <t xml:space="preserve">8.8, 8.29</t>
  </si>
  <si>
    <t xml:space="preserve">LLM03</t>
  </si>
  <si>
    <t xml:space="preserve">SDL-08</t>
  </si>
  <si>
    <t xml:space="preserve">Is AI-specific adversarial testing conducted for jailbreaks, prompt injection, data exfiltration, unsafe tool use, memory poisoning, cross-user leakage, SSRF, malicious document ingestion, guardrail bypass, and unauthorized actions?</t>
  </si>
  <si>
    <t xml:space="preserve">8.29</t>
  </si>
  <si>
    <t xml:space="preserve">LLM01, LLM02, LLM06</t>
  </si>
  <si>
    <t xml:space="preserve">SDL-09</t>
  </si>
  <si>
    <t xml:space="preserve">Are LLM-specific regression tests maintained for known attack patterns, policy bypasses, guardrail failures, sensitive data exposure, tool misuse, retrieval manipulation, and memory misuse?</t>
  </si>
  <si>
    <t xml:space="preserve">LLM01, LLM08</t>
  </si>
  <si>
    <t xml:space="preserve">SDL-10</t>
  </si>
  <si>
    <t xml:space="preserve">Are privacy and confidentiality controls validated, including data minimization, sensitive data filtering, output limits, differential privacy or privacy-preserving techniques (where applicable), and prevention of unauthorized disclosure?</t>
  </si>
  <si>
    <t xml:space="preserve">DAT-03</t>
  </si>
  <si>
    <t xml:space="preserve">A.7.2</t>
  </si>
  <si>
    <t xml:space="preserve">5.34, 8.11, 8.12</t>
  </si>
  <si>
    <t xml:space="preserve">LLM02</t>
  </si>
  <si>
    <t xml:space="preserve">Are risk reassessed and controls retested when models, prompts, tools, permissions, memory behaviour, retrieval sources, providers, deployment environments, or action scope change?</t>
  </si>
  <si>
    <t xml:space="preserve">A.5.2, A.6.2.4</t>
  </si>
  <si>
    <t xml:space="preserve">SDL-12</t>
  </si>
  <si>
    <t xml:space="preserve">Are deployed agents continuously monitored for anomalous behaviour, tool usage, policy violations, retrieval activity, memory access, guardrail failures, unsafe outputs, and emerging attack patterns?</t>
  </si>
  <si>
    <t xml:space="preserve">MON-03</t>
  </si>
  <si>
    <t xml:space="preserve">A.6.2.6</t>
  </si>
  <si>
    <t xml:space="preserve">8.16</t>
  </si>
  <si>
    <t xml:space="preserve">LLM06, LLM10</t>
  </si>
  <si>
    <t xml:space="preserve">SDL-13</t>
  </si>
  <si>
    <t xml:space="preserve">Is behavioural, performance, and governance drift detection conducted to identify degradation in quality, bias, policy adherence, refusal behaviour, tool-use behaviour, and safety controls?</t>
  </si>
  <si>
    <t xml:space="preserve">SUP-06</t>
  </si>
  <si>
    <t xml:space="preserve">LLM09</t>
  </si>
  <si>
    <t xml:space="preserve">SDL-14</t>
  </si>
  <si>
    <t xml:space="preserve">Is AI supply chain risk managed across models, datasets, plugins, APIs, libraries, containers, external providers, and infrastructure dependencies?</t>
  </si>
  <si>
    <t xml:space="preserve">SUP-01 to SUP-07</t>
  </si>
  <si>
    <t xml:space="preserve">A.7.5, A.10.3</t>
  </si>
  <si>
    <t xml:space="preserve">5.19, 5.21</t>
  </si>
  <si>
    <t xml:space="preserve">LLM03, LLM04</t>
  </si>
  <si>
    <t xml:space="preserve">SDL-15</t>
  </si>
  <si>
    <t xml:space="preserve">Are security release gates, rollback procedures, and incident response integration established for AI-specific failures such as data leakage, prompt injection compromise, unsafe tool execution, or provider compromise?</t>
  </si>
  <si>
    <t xml:space="preserve">MON-04, RES-03</t>
  </si>
  <si>
    <t xml:space="preserve">5.24, 8.32</t>
  </si>
  <si>
    <t xml:space="preserve">Strong Identity, Authentication, and Authorization</t>
  </si>
  <si>
    <t xml:space="preserve">Is per-agent and per-workload identity used, with no shared accounts or long-lived tokens?</t>
  </si>
  <si>
    <t xml:space="preserve">5.16</t>
  </si>
  <si>
    <t xml:space="preserve">IAM-02</t>
  </si>
  <si>
    <t xml:space="preserve">Is workload identity and federated access preferred over static credentials?</t>
  </si>
  <si>
    <t xml:space="preserve">DAT-02</t>
  </si>
  <si>
    <t xml:space="preserve">5.16, 5.17</t>
  </si>
  <si>
    <t xml:space="preserve">IAM-03</t>
  </si>
  <si>
    <t xml:space="preserve">Are short-lived credentials issued with automatic rotation?</t>
  </si>
  <si>
    <t xml:space="preserve">5.17, 8.5</t>
  </si>
  <si>
    <t xml:space="preserve">IAM-04</t>
  </si>
  <si>
    <t xml:space="preserve">Are least-privilege controls applied to every tool, API, knowledge source, and data store the agent can access?</t>
  </si>
  <si>
    <t xml:space="preserve">TAPI-01</t>
  </si>
  <si>
    <t xml:space="preserve">5.15, 5.18, 8.3</t>
  </si>
  <si>
    <t xml:space="preserve">IAM-05</t>
  </si>
  <si>
    <t xml:space="preserve">Are RBAC/ABAC and just-in-time elevation used for sensitive functions?</t>
  </si>
  <si>
    <t xml:space="preserve">POL-04</t>
  </si>
  <si>
    <t xml:space="preserve">5.15, 8.2</t>
  </si>
  <si>
    <t xml:space="preserve">IAM-06</t>
  </si>
  <si>
    <t xml:space="preserve">Is MFA required for operators and administrators?</t>
  </si>
  <si>
    <t xml:space="preserve">8.5</t>
  </si>
  <si>
    <t xml:space="preserve">IAM-07</t>
  </si>
  <si>
    <t xml:space="preserve">Are identities separated for human users and functions, the agent runtime, the tool runner, and admin/operator?</t>
  </si>
  <si>
    <t xml:space="preserve">5.3, 5.16</t>
  </si>
  <si>
    <t xml:space="preserve">IAM-08</t>
  </si>
  <si>
    <t xml:space="preserve">Are authorization checks enforced not only for tools but also for memory retrieval and context access?</t>
  </si>
  <si>
    <t xml:space="preserve">DAT-07</t>
  </si>
  <si>
    <t xml:space="preserve">8.3</t>
  </si>
  <si>
    <t xml:space="preserve">LLM02, LLM08</t>
  </si>
  <si>
    <t xml:space="preserve">SEG-01</t>
  </si>
  <si>
    <t xml:space="preserve">Network Segmentation, Isolation, and Sandbox Execution</t>
  </si>
  <si>
    <t xml:space="preserve">Do tool execution, code interpretation, browser automation, and file parsing run in sandboxed environments (containers, VMs, or microVMs)?</t>
  </si>
  <si>
    <t xml:space="preserve">A.4.5</t>
  </si>
  <si>
    <t xml:space="preserve">SEG-02</t>
  </si>
  <si>
    <t xml:space="preserve">Are sandboxes restricted: read-only file systems where feasible, no privileged containers, limited syscalls, ephemeral execution, and no default egress?</t>
  </si>
  <si>
    <t xml:space="preserve">SEG-04</t>
  </si>
  <si>
    <t xml:space="preserve">8.9</t>
  </si>
  <si>
    <t xml:space="preserve">LLM05</t>
  </si>
  <si>
    <t xml:space="preserve">SEG-03</t>
  </si>
  <si>
    <t xml:space="preserve">Is agent infrastructure placed in segmented networks?</t>
  </si>
  <si>
    <t xml:space="preserve">8.20, 8.22</t>
  </si>
  <si>
    <t xml:space="preserve">Is outbound traffic restricted to approved domains, APIs, and destinations?</t>
  </si>
  <si>
    <t xml:space="preserve">TAPI-03</t>
  </si>
  <si>
    <t xml:space="preserve">8.21, 8.23</t>
  </si>
  <si>
    <t xml:space="preserve">LLM02, LLM06</t>
  </si>
  <si>
    <t xml:space="preserve">SEG-05</t>
  </si>
  <si>
    <t xml:space="preserve">Are outbound requests routed through inspection or proxy layers when practical?</t>
  </si>
  <si>
    <t xml:space="preserve">8.23</t>
  </si>
  <si>
    <t xml:space="preserve">SEG-06</t>
  </si>
  <si>
    <t xml:space="preserve">Is access blocked to internal admin interfaces, metadata services, and non-approved internal network resources?</t>
  </si>
  <si>
    <t xml:space="preserve">TAPI-05</t>
  </si>
  <si>
    <t xml:space="preserve">SEG-07</t>
  </si>
  <si>
    <t xml:space="preserve">Is reasoning separated from execution so the model cannot directly invoke unrestricted actions?</t>
  </si>
  <si>
    <t xml:space="preserve">SDL-04, POL-01</t>
  </si>
  <si>
    <t xml:space="preserve">Defense Against Prompt Injection and Untrusted Content</t>
  </si>
  <si>
    <t xml:space="preserve">Is all external content treated as untrusted input, including webpages, emails, PDFs, retrieved documents, user attachments, and tool outputs?</t>
  </si>
  <si>
    <t xml:space="preserve">TAPI-06</t>
  </si>
  <si>
    <t xml:space="preserve">8.26</t>
  </si>
  <si>
    <t xml:space="preserve">LLM01</t>
  </si>
  <si>
    <t xml:space="preserve">PID-02</t>
  </si>
  <si>
    <t xml:space="preserve">Is external content prevented from overriding system or developer instructions?</t>
  </si>
  <si>
    <t xml:space="preserve">LLM01, LLM07</t>
  </si>
  <si>
    <t xml:space="preserve">PID-03</t>
  </si>
  <si>
    <t xml:space="preserve">Are content boundaries, contextual labelling, and instruction hierarchy enforcement used?</t>
  </si>
  <si>
    <t xml:space="preserve">PID-04</t>
  </si>
  <si>
    <t xml:space="preserve">Is agent behaviour limited with allowlisted tools and explicit action constraints?</t>
  </si>
  <si>
    <t xml:space="preserve">A.9.4</t>
  </si>
  <si>
    <t xml:space="preserve">PID-05</t>
  </si>
  <si>
    <t xml:space="preserve">Are inputs and outputs filtered for exfiltration attempts, credential requests, policy bypass language, and hidden or obfuscated instructions?</t>
  </si>
  <si>
    <t xml:space="preserve">DAT-04</t>
  </si>
  <si>
    <t xml:space="preserve">8.12</t>
  </si>
  <si>
    <t xml:space="preserve">LLM01, LLM02, LLM05</t>
  </si>
  <si>
    <t xml:space="preserve">PID-06</t>
  </si>
  <si>
    <t xml:space="preserve">Is retrieved content prevented from directly triggering actions without a separate policy decision?</t>
  </si>
  <si>
    <t xml:space="preserve">POL-01</t>
  </si>
  <si>
    <t xml:space="preserve">PID-07</t>
  </si>
  <si>
    <t xml:space="preserve">Are data provenance and source trust levels tracked so that low-trust content does not receive high action authority?</t>
  </si>
  <si>
    <t xml:space="preserve">DAT-09</t>
  </si>
  <si>
    <t xml:space="preserve">A.7.5</t>
  </si>
  <si>
    <t xml:space="preserve">LLM01, LLM04</t>
  </si>
  <si>
    <t xml:space="preserve">DAT-01</t>
  </si>
  <si>
    <t xml:space="preserve">Data Protection, Secrets Management, and Memory Security</t>
  </si>
  <si>
    <t xml:space="preserve">Are secrets never placed in prompts?</t>
  </si>
  <si>
    <t xml:space="preserve">5.17</t>
  </si>
  <si>
    <t xml:space="preserve">LLM02, LLM07</t>
  </si>
  <si>
    <t xml:space="preserve">Are a secrets manager and scoped tokens used for all credentials?</t>
  </si>
  <si>
    <t xml:space="preserve">5.17, 8.24</t>
  </si>
  <si>
    <t xml:space="preserve">Are data classification, minimization, retention limits, and encryption applied to prompts, logs, traces, memory, and outputs? (Record decisions on the Data Handling tab.)</t>
  </si>
  <si>
    <t xml:space="preserve">5.12, 8.10, 8.24</t>
  </si>
  <si>
    <t xml:space="preserve">Is sensitive data redacted or tokenized in logs and observability platforms?</t>
  </si>
  <si>
    <t xml:space="preserve">MON-01</t>
  </si>
  <si>
    <t xml:space="preserve">8.11, 8.15</t>
  </si>
  <si>
    <t xml:space="preserve">DAT-05</t>
  </si>
  <si>
    <t xml:space="preserve">Are memory and context isolated by tenant, user, and use case?</t>
  </si>
  <si>
    <t xml:space="preserve">DAT-08</t>
  </si>
  <si>
    <t xml:space="preserve">DAT-06</t>
  </si>
  <si>
    <t xml:space="preserve">Are retention limits and time-to-live (TTL) values applied to persistent memory?</t>
  </si>
  <si>
    <t xml:space="preserve">8.10</t>
  </si>
  <si>
    <t xml:space="preserve">Are authorization checks required before an agent can retrieve stored memory or prior interactions?</t>
  </si>
  <si>
    <t xml:space="preserve">Is cross-session and cross-tenant leakage prevented?</t>
  </si>
  <si>
    <t xml:space="preserve">8.3, 8.29</t>
  </si>
  <si>
    <t xml:space="preserve">Are the provenance and integrity of stored memory and retrieved context validated to reduce poisoning risk?</t>
  </si>
  <si>
    <t xml:space="preserve">LLM04, LLM08</t>
  </si>
  <si>
    <t xml:space="preserve">Secure Tool and API Integrations</t>
  </si>
  <si>
    <t xml:space="preserve">Are agent-accessible tools placed behind an API gateway, action broker, or policy enforcement layer?</t>
  </si>
  <si>
    <t xml:space="preserve">TAPI-02</t>
  </si>
  <si>
    <t xml:space="preserve">Are requests validated with authentication, authorization, schema enforcement, parameter constraints, quotas, and rate limits?</t>
  </si>
  <si>
    <t xml:space="preserve">RES-01</t>
  </si>
  <si>
    <t xml:space="preserve">8.5, 8.26</t>
  </si>
  <si>
    <t xml:space="preserve">LLM05, LLM10</t>
  </si>
  <si>
    <t xml:space="preserve">Are explicit allowlists used for domains, endpoints, commands, repositories, and file paths?</t>
  </si>
  <si>
    <t xml:space="preserve">8.3, 8.23</t>
  </si>
  <si>
    <t xml:space="preserve">TAPI-04</t>
  </si>
  <si>
    <t xml:space="preserve">Are dangerous primitives blocked, such as arbitrary shell access, unrestricted file reads, and unrestricted URL fetches?</t>
  </si>
  <si>
    <t xml:space="preserve">Is there protection against SSRF, internal reconnaissance, and unintended access to cloud metadata services?</t>
  </si>
  <si>
    <t xml:space="preserve">8.20, 8.26</t>
  </si>
  <si>
    <t xml:space="preserve">Are outputs from tools validated before being used as context for later decisions?</t>
  </si>
  <si>
    <t xml:space="preserve">Policy Enforcement, Output Control, and Human Oversight</t>
  </si>
  <si>
    <t xml:space="preserve">Is a deterministic policy enforcement point (PEP) implemented between agent outputs and action-capable systems?</t>
  </si>
  <si>
    <t xml:space="preserve">8.26, 8.27</t>
  </si>
  <si>
    <t xml:space="preserve">POL-02</t>
  </si>
  <si>
    <t xml:space="preserve">Does the PEP validate the action type, target system, actor identity, authorization, business rules, risk thresholds, and required approvals?</t>
  </si>
  <si>
    <t xml:space="preserve">POL-03</t>
  </si>
  <si>
    <t xml:space="preserve">Is human-in-the-loop (HITL) approval required for destructive, financial, legal, regulated, or irreversible actions?</t>
  </si>
  <si>
    <t xml:space="preserve">A.9.2</t>
  </si>
  <si>
    <t xml:space="preserve">Are step-up authentication, dual control, or transaction confirmation used for sensitive workflows?</t>
  </si>
  <si>
    <t xml:space="preserve">5.3, 8.5</t>
  </si>
  <si>
    <t xml:space="preserve">POL-05</t>
  </si>
  <si>
    <t xml:space="preserve">Are clear execution summaries presented so humans can verify exactly what will happen?</t>
  </si>
  <si>
    <t xml:space="preserve">A.8.2</t>
  </si>
  <si>
    <t xml:space="preserve">LLM06, LLM09</t>
  </si>
  <si>
    <t xml:space="preserve">POL-06</t>
  </si>
  <si>
    <t xml:space="preserve">Is read-only or recommendation-only mode supported for higher-risk agent use cases?</t>
  </si>
  <si>
    <t xml:space="preserve">RES-04</t>
  </si>
  <si>
    <t xml:space="preserve">Logging, Monitoring, Detection, and Incident Response</t>
  </si>
  <si>
    <t xml:space="preserve">Are prompts, responses, retrieved sources, content hashes, tool invocations, action decisions, approvals, identity context, and policy violations logged, with redaction where needed?</t>
  </si>
  <si>
    <t xml:space="preserve">A.6.2.8</t>
  </si>
  <si>
    <t xml:space="preserve">8.15</t>
  </si>
  <si>
    <t xml:space="preserve">MON-02</t>
  </si>
  <si>
    <t xml:space="preserve">Is logging centralized and tamper-resistant?</t>
  </si>
  <si>
    <t xml:space="preserve">Is there monitoring for unusual tool use, excessive data retrieval, repeated bypass attempts, anomalous outbound traffic, sudden changes in model behaviour, and abuse patterns?</t>
  </si>
  <si>
    <t xml:space="preserve">LLM01, LLM06, LLM10</t>
  </si>
  <si>
    <t xml:space="preserve">MON-04</t>
  </si>
  <si>
    <t xml:space="preserve">Are agent-specific incident response playbooks in place (prompt injection, tool compromise, model/provider compromise, data leakage, cross-tenant exposure, memory poisoning)?</t>
  </si>
  <si>
    <t xml:space="preserve">A.8.4</t>
  </si>
  <si>
    <t xml:space="preserve">5.24, 5.26</t>
  </si>
  <si>
    <t xml:space="preserve">MON-05</t>
  </si>
  <si>
    <t xml:space="preserve">Are escalation paths and containment procedures defined, including disabling tools or shifting the agent to read-only mode?</t>
  </si>
  <si>
    <t xml:space="preserve">RES-02</t>
  </si>
  <si>
    <t xml:space="preserve">SUP-01</t>
  </si>
  <si>
    <t xml:space="preserve">Model, Provider, and Software Supply Chain Security</t>
  </si>
  <si>
    <t xml:space="preserve">Are versions of models, model endpoints, embeddings, frameworks, plugins, and dependencies pinned and verified?</t>
  </si>
  <si>
    <t xml:space="preserve">8.19, 8.32</t>
  </si>
  <si>
    <t xml:space="preserve">Are SBOM, AI-BOM, dependency scanning, artifact signing, and provenance validation used?</t>
  </si>
  <si>
    <t xml:space="preserve">8.8</t>
  </si>
  <si>
    <t xml:space="preserve">SUP-03</t>
  </si>
  <si>
    <t xml:space="preserve">Is the ability to publish or update tools, prompts, agent policies, and integrations restricted?</t>
  </si>
  <si>
    <t xml:space="preserve">8.4, 8.32</t>
  </si>
  <si>
    <t xml:space="preserve">LLM03, LLM07</t>
  </si>
  <si>
    <t xml:space="preserve">Are third-party model and tool providers vetted through supplier risk assessment?</t>
  </si>
  <si>
    <t xml:space="preserve">A.10.3</t>
  </si>
  <si>
    <t xml:space="preserve">SUP-05</t>
  </si>
  <si>
    <t xml:space="preserve">Are security-related obligations contractually defined, such as data handling, retention, model training use, security controls, residency, and breach notification?</t>
  </si>
  <si>
    <t xml:space="preserve">A.10.2, A.10.3</t>
  </si>
  <si>
    <t xml:space="preserve">5.20, 5.23</t>
  </si>
  <si>
    <t xml:space="preserve">LLM02, LLM03</t>
  </si>
  <si>
    <t xml:space="preserve">Is there monitoring for provider-side changes, behaviour drift, or endpoint spoofing?</t>
  </si>
  <si>
    <t xml:space="preserve">5.22</t>
  </si>
  <si>
    <t xml:space="preserve">LLM03, LLM09</t>
  </si>
  <si>
    <t xml:space="preserve">SUP-07</t>
  </si>
  <si>
    <t xml:space="preserve">Is rollback capability maintained for model or tool changes?</t>
  </si>
  <si>
    <t xml:space="preserve">Reliability, Resilience, Kill Switches, and Safe Degradation</t>
  </si>
  <si>
    <t xml:space="preserve">Are rate limits, quotas, token budgets, conversation limits, timeouts, retries with caps, and circuit breakers implemented?</t>
  </si>
  <si>
    <t xml:space="preserve">8.6</t>
  </si>
  <si>
    <t xml:space="preserve">LLM10</t>
  </si>
  <si>
    <t xml:space="preserve">Are global and per-capability kill switches in place to disable unsafe agent behaviour quickly?</t>
  </si>
  <si>
    <t xml:space="preserve">Is rollback of model versions, prompts, policies, tool permissions, and dependencies supported?</t>
  </si>
  <si>
    <t xml:space="preserve">SDL-06, SUP-07</t>
  </si>
  <si>
    <t xml:space="preserve">Are safe fallback modes designed (read-only, recommendation-only, manual approval), and can critical workflows revert to manual operation if the agent is disabled?</t>
  </si>
  <si>
    <t xml:space="preserve">5.29, 5.30</t>
  </si>
  <si>
    <t xml:space="preserve">Summary by Practice Category</t>
  </si>
  <si>
    <t xml:space="preserve">Controls</t>
  </si>
  <si>
    <t xml:space="preserve">Assessed</t>
  </si>
  <si>
    <t xml:space="preserve">Partial</t>
  </si>
  <si>
    <t xml:space="preserve">Not Yet Assessed</t>
  </si>
  <si>
    <t xml:space="preserve">Avg Maturity</t>
  </si>
  <si>
    <t xml:space="preserve">Open P1</t>
  </si>
  <si>
    <t xml:space="preserve">Open P2</t>
  </si>
  <si>
    <t xml:space="preserve">TOTAL</t>
  </si>
  <si>
    <t xml:space="preserve">Coverage % = (Implemented + 0.5 × Partial) ÷ (Implemented + Partial + Not Implemented). Not Applicable and unassessed controls are excluded.</t>
  </si>
  <si>
    <t xml:space="preserve">ISACA Secure by Default Checklist (Figure 4) — Rolled Up from Controls</t>
  </si>
  <si>
    <t xml:space="preserve">Each item's status is computed from the Assessment controls mapped to it (Secure by Default # column). Use the override column only with a documented reason.</t>
  </si>
  <si>
    <t xml:space="preserve">#</t>
  </si>
  <si>
    <t xml:space="preserve">Secure by Default item</t>
  </si>
  <si>
    <t xml:space="preserve">Linked controls</t>
  </si>
  <si>
    <t xml:space="preserve">Mapped</t>
  </si>
  <si>
    <t xml:space="preserve">Not Impl.</t>
  </si>
  <si>
    <t xml:space="preserve">Computed status</t>
  </si>
  <si>
    <t xml:space="preserve">Assessor override</t>
  </si>
  <si>
    <t xml:space="preserve">Override rationale / notes</t>
  </si>
  <si>
    <t xml:space="preserve">Inventory all agents, tools, models, memory stores, and providers.</t>
  </si>
  <si>
    <t xml:space="preserve">Define trust boundaries and owners.</t>
  </si>
  <si>
    <t xml:space="preserve">GOV-02, GOV-03</t>
  </si>
  <si>
    <t xml:space="preserve">Use per-agent identity and least privilege.</t>
  </si>
  <si>
    <t xml:space="preserve">IAM-01, IAM-04, IAM-05, IAM-07</t>
  </si>
  <si>
    <t xml:space="preserve">Prefer short-lived credentials and federated identity.</t>
  </si>
  <si>
    <t xml:space="preserve">IAM-02, IAM-03, DAT-02</t>
  </si>
  <si>
    <t xml:space="preserve">Employ sandbox execution and segment networks.</t>
  </si>
  <si>
    <t xml:space="preserve">SEG-01, SEG-02, SEG-03, SEG-06</t>
  </si>
  <si>
    <t xml:space="preserve">Deny outbound access by default.</t>
  </si>
  <si>
    <t xml:space="preserve">SEG-04, SEG-05, TAPI-03, TAPI-05</t>
  </si>
  <si>
    <t xml:space="preserve">Treat all retrieved content and tool output as untrusted.</t>
  </si>
  <si>
    <t xml:space="preserve">PID-01, PID-02, PID-03, PID-04, PID-05, PID-07, DAT-09, TAPI-06</t>
  </si>
  <si>
    <t xml:space="preserve">Protect memory with tenant/session isolation and retention controls.</t>
  </si>
  <si>
    <t xml:space="preserve">IAM-08, DAT-05, DAT-06, DAT-07, DAT-08</t>
  </si>
  <si>
    <t xml:space="preserve">Put all tool actions behind a policy enforcement point.</t>
  </si>
  <si>
    <t xml:space="preserve">SDL-04, SEG-07, PID-06, TAPI-01, TAPI-02, TAPI-04, POL-01, POL-02</t>
  </si>
  <si>
    <t xml:space="preserve">Require human approval for high-risk actions.</t>
  </si>
  <si>
    <t xml:space="preserve">POL-03, POL-04, POL-05</t>
  </si>
  <si>
    <t xml:space="preserve">Log prompts, tool calls, decisions, and approvals with redaction.</t>
  </si>
  <si>
    <t xml:space="preserve">SDL-12, DAT-04, MON-01, MON-02, MON-03</t>
  </si>
  <si>
    <t xml:space="preserve">Pin models and dependencies; use SBOMs and signing.</t>
  </si>
  <si>
    <t xml:space="preserve">SDL-14, SUP-01, SUP-02</t>
  </si>
  <si>
    <t xml:space="preserve">Integrate secure SDLC and change control.</t>
  </si>
  <si>
    <t xml:space="preserve">SDL-01, SDL-02, SDL-03, SDL-05, SDL-06, SDL-07, SDL-11, SUP-03</t>
  </si>
  <si>
    <t xml:space="preserve">Conduct red team exercises continuously for prompt injection and tool misuse.</t>
  </si>
  <si>
    <t xml:space="preserve">SDL-08, SDL-09</t>
  </si>
  <si>
    <t xml:space="preserve">Add kill switches, rollback capability, and safe-mode operations.</t>
  </si>
  <si>
    <t xml:space="preserve">SDL-15, POL-06, MON-05, SUP-07, RES-02, RES-03, RES-04</t>
  </si>
  <si>
    <t xml:space="preserve">Items met</t>
  </si>
  <si>
    <t xml:space="preserve">Thresholds: Met = 100% coverage of mapped controls; Partially met = 50–99%; Not met = below 50%.</t>
  </si>
  <si>
    <t xml:space="preserve">Agent Data Handling Decisions (ISACA Appendix A, Figure 5)</t>
  </si>
  <si>
    <t xml:space="preserve">Decide what each data class may do inside the agent. Yellow columns are decisions. Columns A–C summarize ISACA; columns E–J are a suggested starting baseline added for this worksheet. Supports DAT-03 and SDL-10.</t>
  </si>
  <si>
    <t xml:space="preserve">Data class</t>
  </si>
  <si>
    <t xml:space="preserve">Examples (ISACA)</t>
  </si>
  <si>
    <t xml:space="preserve">Baseline handling (ISACA: store / send / access / keep / dispose)</t>
  </si>
  <si>
    <t xml:space="preserve">Agents in scope that touch this class</t>
  </si>
  <si>
    <t xml:space="preserve">Agent may access?</t>
  </si>
  <si>
    <t xml:space="preserve">In prompts / context?</t>
  </si>
  <si>
    <t xml:space="preserve">In persistent memory?</t>
  </si>
  <si>
    <t xml:space="preserve">In logs / traces?</t>
  </si>
  <si>
    <t xml:space="preserve">Sent to external model provider?</t>
  </si>
  <si>
    <t xml:space="preserve">Suggested agent-specific controls</t>
  </si>
  <si>
    <t xml:space="preserve">Current state</t>
  </si>
  <si>
    <t xml:space="preserve">Gap / action</t>
  </si>
  <si>
    <t xml:space="preserve">Public</t>
  </si>
  <si>
    <t xml:space="preserve">Public website content, press releases, published brochures, approved job postings</t>
  </si>
  <si>
    <t xml:space="preserve">Store in approved business systems; protect from unauthorized changes. Send through normal business and public channels. Public to access; limit edit access. Keep as useful for business, archival, or legal needs. Normal disposal.</t>
  </si>
  <si>
    <t xml:space="preserve">Yes</t>
  </si>
  <si>
    <t xml:space="preserve">Agents may read freely, but content fetched from the open web is still untrusted input (PID-01). Agents should not publish or edit public content without approval (POL-03).</t>
  </si>
  <si>
    <t xml:space="preserve">Internal</t>
  </si>
  <si>
    <t xml:space="preserve">Internal procedures, org charts, team documents, routine internal email, meeting notes</t>
  </si>
  <si>
    <t xml:space="preserve">Store in approved company systems only; avoid personal or unapproved cloud storage. Send through approved company email, chat, and collaboration tools. Employees and approved third parties with business need. Per business retention schedule. Standard deletion.</t>
  </si>
  <si>
    <t xml:space="preserve">Conditional</t>
  </si>
  <si>
    <t xml:space="preserve">Restrict to agents with a business need; approved model providers under contract only (SUP-05); memory TTL aligned to the retention schedule (DAT-06); no forwarding to unapproved destinations (SEG-04).</t>
  </si>
  <si>
    <t xml:space="preserve">Confidential</t>
  </si>
  <si>
    <t xml:space="preserve">Customer records, employee records, contracts, financial reports, nonpublic strategy documents, most personal data</t>
  </si>
  <si>
    <t xml:space="preserve">Store in approved managed systems; encryption at rest required. Send via approved secure methods, encrypted in transit, recipients verified. Authorized users only, role-based, logged and reviewed. Per documented retention schedule. Secure deletion; approved shredding and secure wipe.</t>
  </si>
  <si>
    <t xml:space="preserve">Redacted only</t>
  </si>
  <si>
    <t xml:space="preserve">Authorization check on every retrieval and memory read (IAM-08, DAT-07); per-tenant/user memory isolation (DAT-05); provider contract covers training use, retention, residency, breach notice (SUP-05); redact in logs (DAT-04); outbound actions carrying this data pass the PEP (POL-01).</t>
  </si>
  <si>
    <t xml:space="preserve">Restricted / Highly sensitive</t>
  </si>
  <si>
    <t xml:space="preserve">Health data, special category personal data, government ID numbers, payment data, passwords, cryptographic keys, M&amp;A data, security investigation files</t>
  </si>
  <si>
    <t xml:space="preserve">Store only in explicitly approved, tightly controlled systems; strong encryption required. Send via approved secure transfer only; recipient identity and authorization confirmed. Strict need-to-know, formal approval, MFA, tightly controlled privileged access. Shortest justified retention. Verified secure destruction.</t>
  </si>
  <si>
    <t xml:space="preserve">No</t>
  </si>
  <si>
    <t xml:space="preserve">Default deny. Passwords and keys never enter prompts (DAT-01). If a use case is approved by exception: tokenize or redact before inference, dedicated approved endpoint, no persistent memory, HITL approval for any action that transmits or changes this data (POL-03), privileged access review of logs. Regulated data (e.g., PHI, PCI) carries further obligations beyond this guide.</t>
  </si>
  <si>
    <t xml:space="preserve">Values in columns E–I are a suggested starting position, not ISACA requirements. Replace them with the decisions approved by the data owner, and document the conditions for any 'Conditional' entry in Current state.</t>
  </si>
  <si>
    <t xml:space="preserve">Met</t>
  </si>
  <si>
    <t xml:space="preserve">Partially met</t>
  </si>
  <si>
    <t xml:space="preserve">Low</t>
  </si>
  <si>
    <t xml:space="preserve">Not met</t>
  </si>
  <si>
    <t xml:space="preserve">Not applicable</t>
  </si>
</sst>
</file>

<file path=xl/styles.xml><?xml version="1.0" encoding="utf-8"?>
<styleSheet xmlns="http://schemas.openxmlformats.org/spreadsheetml/2006/main">
  <numFmts count="5">
    <numFmt numFmtId="164" formatCode="General"/>
    <numFmt numFmtId="165" formatCode="yyyy\-mm\-dd"/>
    <numFmt numFmtId="166" formatCode="0.0"/>
    <numFmt numFmtId="167" formatCode="General"/>
    <numFmt numFmtId="168" formatCode="0%"/>
  </numFmts>
  <fonts count="15">
    <font>
      <sz val="11"/>
      <color theme="1"/>
      <name val="Calibri"/>
      <family val="2"/>
      <charset val="1"/>
    </font>
    <font>
      <sz val="10"/>
      <name val="Arial"/>
      <family val="0"/>
    </font>
    <font>
      <sz val="10"/>
      <name val="Arial"/>
      <family val="0"/>
    </font>
    <font>
      <sz val="10"/>
      <name val="Arial"/>
      <family val="0"/>
    </font>
    <font>
      <b val="true"/>
      <sz val="18"/>
      <color rgb="FF1F3A5F"/>
      <name val="Arial"/>
      <family val="0"/>
      <charset val="1"/>
    </font>
    <font>
      <i val="true"/>
      <sz val="10"/>
      <color rgb="FF595959"/>
      <name val="Arial"/>
      <family val="0"/>
      <charset val="1"/>
    </font>
    <font>
      <b val="true"/>
      <sz val="11"/>
      <color rgb="FF21806B"/>
      <name val="Arial"/>
      <family val="0"/>
      <charset val="1"/>
    </font>
    <font>
      <b val="true"/>
      <sz val="10"/>
      <name val="Arial"/>
      <family val="0"/>
      <charset val="1"/>
    </font>
    <font>
      <sz val="10"/>
      <name val="Arial"/>
      <family val="0"/>
      <charset val="1"/>
    </font>
    <font>
      <b val="true"/>
      <sz val="14"/>
      <color rgb="FF1F3A5F"/>
      <name val="Arial"/>
      <family val="0"/>
      <charset val="1"/>
    </font>
    <font>
      <b val="true"/>
      <sz val="10"/>
      <color rgb="FFFFFFFF"/>
      <name val="Arial"/>
      <family val="0"/>
      <charset val="1"/>
    </font>
    <font>
      <sz val="10"/>
      <name val="Arial"/>
      <family val="2"/>
    </font>
    <font>
      <i val="true"/>
      <sz val="9"/>
      <color rgb="FF595959"/>
      <name val="Arial"/>
      <family val="0"/>
      <charset val="1"/>
    </font>
    <font>
      <b val="true"/>
      <sz val="18"/>
      <color rgb="FF000000"/>
      <name val="Calibri"/>
      <family val="2"/>
    </font>
    <font>
      <sz val="10"/>
      <color rgb="FF000000"/>
      <name val="Calibri"/>
      <family val="2"/>
    </font>
  </fonts>
  <fills count="6">
    <fill>
      <patternFill patternType="none"/>
    </fill>
    <fill>
      <patternFill patternType="gray125"/>
    </fill>
    <fill>
      <patternFill patternType="solid">
        <fgColor rgb="FFFFF8D6"/>
        <bgColor rgb="FFF9F9F9"/>
      </patternFill>
    </fill>
    <fill>
      <patternFill patternType="solid">
        <fgColor rgb="FFEFEFEF"/>
        <bgColor rgb="FFE8EEF4"/>
      </patternFill>
    </fill>
    <fill>
      <patternFill patternType="solid">
        <fgColor rgb="FF1F3A5F"/>
        <bgColor rgb="FF333333"/>
      </patternFill>
    </fill>
    <fill>
      <patternFill patternType="solid">
        <fgColor rgb="FFE8EEF4"/>
        <bgColor rgb="FFEFEFE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5" fontId="8"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true" applyProtection="false">
      <alignment horizontal="center" vertical="bottom" textRotation="0" wrapText="false" indent="0" shrinkToFit="false"/>
      <protection locked="true" hidden="false"/>
    </xf>
    <xf numFmtId="168" fontId="8" fillId="3" borderId="1" xfId="0" applyFont="true" applyBorder="true" applyAlignment="true" applyProtection="false">
      <alignment horizontal="center" vertical="bottom" textRotation="0" wrapText="false" indent="0" shrinkToFit="false"/>
      <protection locked="true" hidden="false"/>
    </xf>
    <xf numFmtId="166" fontId="8" fillId="3"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center" vertical="bottom" textRotation="0" wrapText="false" indent="0" shrinkToFit="false"/>
      <protection locked="true" hidden="false"/>
    </xf>
    <xf numFmtId="168" fontId="7" fillId="5" borderId="1" xfId="0" applyFont="true" applyBorder="true" applyAlignment="true" applyProtection="false">
      <alignment horizontal="center" vertical="bottom" textRotation="0" wrapText="false" indent="0" shrinkToFit="false"/>
      <protection locked="true" hidden="false"/>
    </xf>
    <xf numFmtId="166" fontId="7" fillId="5"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8" fillId="3" borderId="1" xfId="0" applyFont="true" applyBorder="true" applyAlignment="true" applyProtection="false">
      <alignment horizontal="center" vertical="top" textRotation="0" wrapText="true" indent="0" shrinkToFit="false"/>
      <protection locked="true" hidden="false"/>
    </xf>
    <xf numFmtId="168" fontId="8" fillId="3"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FF8D6"/>
          <bgColor rgb="FF000000"/>
        </patternFill>
      </fill>
    </dxf>
    <dxf>
      <fill>
        <patternFill patternType="solid">
          <fgColor rgb="FFEFEFEF"/>
          <bgColor rgb="FF000000"/>
        </patternFill>
      </fill>
    </dxf>
    <dxf>
      <font>
        <name val="Arial"/>
        <charset val="1"/>
        <family val="0"/>
        <color rgb="FF006100"/>
      </font>
      <fill>
        <patternFill>
          <bgColor rgb="FFC6EFCE"/>
        </patternFill>
      </fill>
    </dxf>
    <dxf>
      <font>
        <name val="Arial"/>
        <charset val="1"/>
        <family val="0"/>
        <color rgb="FF9C5700"/>
      </font>
      <fill>
        <patternFill>
          <bgColor rgb="FFFFEB9C"/>
        </patternFill>
      </fill>
    </dxf>
    <dxf>
      <font>
        <name val="Arial"/>
        <charset val="1"/>
        <family val="0"/>
        <color rgb="FF9C0006"/>
      </font>
      <fill>
        <patternFill>
          <bgColor rgb="FFFFC7CE"/>
        </patternFill>
      </fill>
    </dxf>
    <dxf>
      <fill>
        <patternFill>
          <bgColor rgb="FFD9D9D9"/>
        </patternFill>
      </fill>
    </dxf>
    <dxf>
      <font>
        <name val="Arial"/>
        <charset val="1"/>
        <family val="0"/>
        <b val="1"/>
        <color rgb="FFFFFFFF"/>
      </font>
      <fill>
        <patternFill>
          <bgColor rgb="FFC00000"/>
        </patternFill>
      </fill>
    </dxf>
    <dxf>
      <font>
        <name val="Arial"/>
        <charset val="1"/>
        <family val="0"/>
        <b val="1"/>
      </font>
      <fill>
        <patternFill>
          <bgColor rgb="FFF4B183"/>
        </patternFill>
      </fill>
    </dxf>
    <dxf>
      <font>
        <name val="Arial"/>
        <charset val="1"/>
        <family val="0"/>
      </font>
      <fill>
        <patternFill>
          <bgColor rgb="FFFFE699"/>
        </patternFill>
      </fill>
    </dxf>
    <dxf>
      <font>
        <name val="Arial"/>
        <charset val="1"/>
        <family val="0"/>
        <b val="1"/>
        <color rgb="FFC00000"/>
      </font>
    </dxf>
    <dxf>
      <fill>
        <patternFill>
          <bgColor rgb="FFC6EFCE"/>
        </patternFill>
      </fill>
    </dxf>
    <dxf>
      <fill>
        <patternFill>
          <bgColor rgb="FFFFEB9C"/>
        </patternFill>
      </fill>
    </dxf>
    <dxf>
      <fill>
        <patternFill>
          <bgColor rgb="FFFFC7CE"/>
        </patternFill>
      </fill>
    </dxf>
  </dxfs>
  <colors>
    <indexedColors>
      <rgbColor rgb="FF000000"/>
      <rgbColor rgb="FFFFFFFF"/>
      <rgbColor rgb="FFC00000"/>
      <rgbColor rgb="FF00FF00"/>
      <rgbColor rgb="FF0000FF"/>
      <rgbColor rgb="FFFFE699"/>
      <rgbColor rgb="FFFF00FF"/>
      <rgbColor rgb="FF00FFFF"/>
      <rgbColor rgb="FF9C0006"/>
      <rgbColor rgb="FF006100"/>
      <rgbColor rgb="FF000080"/>
      <rgbColor rgb="FF808000"/>
      <rgbColor rgb="FF800080"/>
      <rgbColor rgb="FF21806B"/>
      <rgbColor rgb="FFBFBFBF"/>
      <rgbColor rgb="FF878787"/>
      <rgbColor rgb="FF9999FF"/>
      <rgbColor rgb="FF993366"/>
      <rgbColor rgb="FFFFF8D6"/>
      <rgbColor rgb="FFE8EEF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FEFEF"/>
      <rgbColor rgb="FFC6EFCE"/>
      <rgbColor rgb="FFFFEB9C"/>
      <rgbColor rgb="FFF9F9F9"/>
      <rgbColor rgb="FFF4B183"/>
      <rgbColor rgb="FFCC99FF"/>
      <rgbColor rgb="FFFFC7CE"/>
      <rgbColor rgb="FF4F81BD"/>
      <rgbColor rgb="FF33CCCC"/>
      <rgbColor rgb="FF99CC00"/>
      <rgbColor rgb="FFFFCC00"/>
      <rgbColor rgb="FFFF9900"/>
      <rgbColor rgb="FFFF6600"/>
      <rgbColor rgb="FF595959"/>
      <rgbColor rgb="FF969696"/>
      <rgbColor rgb="FF1F3A5F"/>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Coverage by Practice Category</a:t>
            </a:r>
          </a:p>
        </c:rich>
      </c:tx>
      <c:overlay val="0"/>
      <c:spPr>
        <a:noFill/>
        <a:ln w="0">
          <a:noFill/>
        </a:ln>
      </c:spPr>
    </c:title>
    <c:autoTitleDeleted val="0"/>
    <c:plotArea>
      <c:barChart>
        <c:barDir val="bar"/>
        <c:grouping val="clustered"/>
        <c:varyColors val="0"/>
        <c:ser>
          <c:idx val="0"/>
          <c:order val="0"/>
          <c:tx>
            <c:strRef>
              <c:f>Summary!I4</c:f>
              <c:strCache>
                <c:ptCount val="1"/>
                <c:pt idx="0">
                  <c:v>Coverage %</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Summary!$A$5:$A$15</c:f>
              <c:strCache>
                <c:ptCount val="11"/>
                <c:pt idx="0">
                  <c:v>Governance, Asset Inventory, and Risk Ownership</c:v>
                </c:pt>
                <c:pt idx="1">
                  <c:v>Secure AI Development, Change Management, and Continuous Assurance</c:v>
                </c:pt>
                <c:pt idx="2">
                  <c:v>Strong Identity, Authentication, and Authorization</c:v>
                </c:pt>
                <c:pt idx="3">
                  <c:v>Network Segmentation, Isolation, and Sandbox Execution</c:v>
                </c:pt>
                <c:pt idx="4">
                  <c:v>Defense Against Prompt Injection and Untrusted Content</c:v>
                </c:pt>
                <c:pt idx="5">
                  <c:v>Data Protection, Secrets Management, and Memory Security</c:v>
                </c:pt>
                <c:pt idx="6">
                  <c:v>Secure Tool and API Integrations</c:v>
                </c:pt>
                <c:pt idx="7">
                  <c:v>Policy Enforcement, Output Control, and Human Oversight</c:v>
                </c:pt>
                <c:pt idx="8">
                  <c:v>Logging, Monitoring, Detection, and Incident Response</c:v>
                </c:pt>
                <c:pt idx="9">
                  <c:v>Model, Provider, and Software Supply Chain Security</c:v>
                </c:pt>
                <c:pt idx="10">
                  <c:v>Reliability, Resilience, Kill Switches, and Safe Degradation</c:v>
                </c:pt>
              </c:strCache>
            </c:strRef>
          </c:cat>
          <c:val>
            <c:numRef>
              <c:f>Summary!$I$5:$I$15</c:f>
              <c:numCache>
                <c:formatCode>General</c:formatCode>
                <c:ptCount val="11"/>
              </c:numCache>
            </c:numRef>
          </c:val>
        </c:ser>
        <c:gapWidth val="150"/>
        <c:overlap val="0"/>
        <c:axId val="9173813"/>
        <c:axId val="10659181"/>
      </c:barChart>
      <c:catAx>
        <c:axId val="917381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659181"/>
        <c:crosses val="autoZero"/>
        <c:auto val="1"/>
        <c:lblAlgn val="ctr"/>
        <c:lblOffset val="100"/>
        <c:noMultiLvlLbl val="0"/>
      </c:catAx>
      <c:valAx>
        <c:axId val="10659181"/>
        <c:scaling>
          <c:orientation val="minMax"/>
          <c:max val="1"/>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7381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18</xdr:row>
      <xdr:rowOff>160560</xdr:rowOff>
    </xdr:from>
    <xdr:to>
      <xdr:col>8</xdr:col>
      <xdr:colOff>267120</xdr:colOff>
      <xdr:row>39</xdr:row>
      <xdr:rowOff>119880</xdr:rowOff>
    </xdr:to>
    <xdr:graphicFrame>
      <xdr:nvGraphicFramePr>
        <xdr:cNvPr id="0" name="Chart 1"/>
        <xdr:cNvGraphicFramePr/>
      </xdr:nvGraphicFramePr>
      <xdr:xfrm>
        <a:off x="0" y="3886200"/>
        <a:ext cx="935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95"/>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c r="C6" s="5"/>
    </row>
    <row r="7" customFormat="false" ht="15" hidden="false" customHeight="false" outlineLevel="0" collapsed="false">
      <c r="B7" s="4" t="s">
        <v>4</v>
      </c>
      <c r="C7" s="5"/>
    </row>
    <row r="8" customFormat="false" ht="15" hidden="false" customHeight="false" outlineLevel="0" collapsed="false">
      <c r="B8" s="4" t="s">
        <v>5</v>
      </c>
      <c r="C8" s="5"/>
    </row>
    <row r="9" customFormat="false" ht="15" hidden="false" customHeight="false" outlineLevel="0" collapsed="false">
      <c r="B9" s="4" t="s">
        <v>6</v>
      </c>
      <c r="C9" s="5"/>
    </row>
    <row r="10" customFormat="false" ht="15" hidden="false" customHeight="false" outlineLevel="0" collapsed="false">
      <c r="B10" s="4" t="s">
        <v>7</v>
      </c>
      <c r="C10" s="6"/>
    </row>
    <row r="11" customFormat="false" ht="15" hidden="false" customHeight="false" outlineLevel="0" collapsed="false">
      <c r="B11" s="4" t="s">
        <v>8</v>
      </c>
      <c r="C11" s="5"/>
    </row>
    <row r="13" customFormat="false" ht="15" hidden="false" customHeight="false" outlineLevel="0" collapsed="false">
      <c r="B13" s="3" t="s">
        <v>9</v>
      </c>
    </row>
    <row r="14" customFormat="false" ht="30" hidden="false" customHeight="true" outlineLevel="0" collapsed="false">
      <c r="B14" s="4" t="s">
        <v>10</v>
      </c>
      <c r="C14" s="7" t="s">
        <v>11</v>
      </c>
    </row>
    <row r="15" customFormat="false" ht="30" hidden="false" customHeight="true" outlineLevel="0" collapsed="false">
      <c r="B15" s="4" t="s">
        <v>12</v>
      </c>
      <c r="C15" s="7" t="s">
        <v>13</v>
      </c>
    </row>
    <row r="16" customFormat="false" ht="30" hidden="false" customHeight="true" outlineLevel="0" collapsed="false">
      <c r="B16" s="4" t="s">
        <v>14</v>
      </c>
      <c r="C16" s="7" t="s">
        <v>15</v>
      </c>
    </row>
    <row r="17" customFormat="false" ht="30" hidden="false" customHeight="true" outlineLevel="0" collapsed="false">
      <c r="B17" s="4" t="s">
        <v>16</v>
      </c>
      <c r="C17" s="7" t="s">
        <v>17</v>
      </c>
    </row>
    <row r="18" customFormat="false" ht="30" hidden="false" customHeight="true" outlineLevel="0" collapsed="false">
      <c r="B18" s="4" t="s">
        <v>18</v>
      </c>
      <c r="C18" s="7" t="s">
        <v>19</v>
      </c>
    </row>
    <row r="20" customFormat="false" ht="15" hidden="false" customHeight="false" outlineLevel="0" collapsed="false">
      <c r="B20" s="3" t="s">
        <v>20</v>
      </c>
    </row>
    <row r="21" customFormat="false" ht="15" hidden="false" customHeight="false" outlineLevel="0" collapsed="false">
      <c r="B21" s="5" t="s">
        <v>21</v>
      </c>
      <c r="C21" s="8" t="s">
        <v>22</v>
      </c>
    </row>
    <row r="22" customFormat="false" ht="15" hidden="false" customHeight="false" outlineLevel="0" collapsed="false">
      <c r="B22" s="9" t="s">
        <v>23</v>
      </c>
      <c r="C22" s="8" t="s">
        <v>24</v>
      </c>
    </row>
    <row r="24" customFormat="false" ht="15" hidden="false" customHeight="false" outlineLevel="0" collapsed="false">
      <c r="B24" s="3" t="s">
        <v>25</v>
      </c>
    </row>
    <row r="25" customFormat="false" ht="15" hidden="false" customHeight="false" outlineLevel="0" collapsed="false">
      <c r="B25" s="4" t="s">
        <v>26</v>
      </c>
      <c r="C25" s="7" t="s">
        <v>27</v>
      </c>
    </row>
    <row r="26" customFormat="false" ht="15" hidden="false" customHeight="false" outlineLevel="0" collapsed="false">
      <c r="B26" s="4" t="s">
        <v>28</v>
      </c>
      <c r="C26" s="7" t="s">
        <v>29</v>
      </c>
    </row>
    <row r="27" customFormat="false" ht="15" hidden="false" customHeight="false" outlineLevel="0" collapsed="false">
      <c r="B27" s="4" t="s">
        <v>30</v>
      </c>
      <c r="C27" s="7" t="s">
        <v>31</v>
      </c>
    </row>
    <row r="28" customFormat="false" ht="15" hidden="false" customHeight="false" outlineLevel="0" collapsed="false">
      <c r="B28" s="4" t="s">
        <v>32</v>
      </c>
      <c r="C28" s="7" t="s">
        <v>33</v>
      </c>
    </row>
    <row r="29" customFormat="false" ht="15" hidden="false" customHeight="false" outlineLevel="0" collapsed="false">
      <c r="B29" s="4" t="s">
        <v>34</v>
      </c>
      <c r="C29" s="7" t="s">
        <v>35</v>
      </c>
    </row>
    <row r="31" customFormat="false" ht="15" hidden="false" customHeight="false" outlineLevel="0" collapsed="false">
      <c r="B31" s="3" t="s">
        <v>36</v>
      </c>
    </row>
    <row r="32" customFormat="false" ht="15" hidden="false" customHeight="false" outlineLevel="0" collapsed="false">
      <c r="B32" s="4" t="s">
        <v>37</v>
      </c>
      <c r="C32" s="8" t="s">
        <v>38</v>
      </c>
    </row>
    <row r="33" customFormat="false" ht="15" hidden="false" customHeight="false" outlineLevel="0" collapsed="false">
      <c r="B33" s="4" t="s">
        <v>39</v>
      </c>
      <c r="C33" s="8" t="s">
        <v>40</v>
      </c>
    </row>
    <row r="34" customFormat="false" ht="15" hidden="false" customHeight="false" outlineLevel="0" collapsed="false">
      <c r="B34" s="4" t="s">
        <v>41</v>
      </c>
      <c r="C34" s="8" t="s">
        <v>42</v>
      </c>
    </row>
    <row r="35" customFormat="false" ht="15" hidden="false" customHeight="false" outlineLevel="0" collapsed="false">
      <c r="B35" s="4" t="s">
        <v>43</v>
      </c>
      <c r="C35" s="8" t="s">
        <v>44</v>
      </c>
    </row>
    <row r="36" customFormat="false" ht="15" hidden="false" customHeight="false" outlineLevel="0" collapsed="false">
      <c r="B36" s="4" t="s">
        <v>45</v>
      </c>
      <c r="C36" s="8" t="s">
        <v>46</v>
      </c>
    </row>
    <row r="37" customFormat="false" ht="15" hidden="false" customHeight="false" outlineLevel="0" collapsed="false">
      <c r="B37" s="4" t="s">
        <v>47</v>
      </c>
      <c r="C37" s="8" t="s">
        <v>48</v>
      </c>
    </row>
    <row r="39" customFormat="false" ht="15" hidden="false" customHeight="false" outlineLevel="0" collapsed="false">
      <c r="B39" s="3" t="s">
        <v>49</v>
      </c>
    </row>
    <row r="40" customFormat="false" ht="15" hidden="false" customHeight="false" outlineLevel="0" collapsed="false">
      <c r="B40" s="4" t="s">
        <v>50</v>
      </c>
      <c r="C40" s="8" t="s">
        <v>51</v>
      </c>
    </row>
    <row r="41" customFormat="false" ht="15" hidden="false" customHeight="false" outlineLevel="0" collapsed="false">
      <c r="B41" s="4" t="s">
        <v>52</v>
      </c>
      <c r="C41" s="8" t="s">
        <v>53</v>
      </c>
    </row>
    <row r="42" customFormat="false" ht="15" hidden="false" customHeight="false" outlineLevel="0" collapsed="false">
      <c r="B42" s="4" t="s">
        <v>54</v>
      </c>
      <c r="C42" s="8" t="s">
        <v>55</v>
      </c>
    </row>
    <row r="43" customFormat="false" ht="15" hidden="false" customHeight="false" outlineLevel="0" collapsed="false">
      <c r="B43" s="4" t="s">
        <v>56</v>
      </c>
      <c r="C43" s="8" t="s">
        <v>57</v>
      </c>
    </row>
    <row r="45" customFormat="false" ht="15" hidden="false" customHeight="false" outlineLevel="0" collapsed="false">
      <c r="B45" s="3" t="s">
        <v>58</v>
      </c>
    </row>
    <row r="46" customFormat="false" ht="15" hidden="false" customHeight="false" outlineLevel="0" collapsed="false">
      <c r="B46" s="4" t="s">
        <v>59</v>
      </c>
      <c r="C46" s="2" t="s">
        <v>60</v>
      </c>
    </row>
    <row r="47" customFormat="false" ht="15" hidden="false" customHeight="false" outlineLevel="0" collapsed="false">
      <c r="B47" s="4" t="s">
        <v>61</v>
      </c>
      <c r="C47" s="2" t="s">
        <v>62</v>
      </c>
    </row>
    <row r="48" customFormat="false" ht="15" hidden="false" customHeight="false" outlineLevel="0" collapsed="false">
      <c r="B48" s="4" t="s">
        <v>63</v>
      </c>
      <c r="C48" s="2" t="s">
        <v>64</v>
      </c>
    </row>
    <row r="49" customFormat="false" ht="15" hidden="false" customHeight="false" outlineLevel="0" collapsed="false">
      <c r="B49" s="4" t="s">
        <v>65</v>
      </c>
      <c r="C49" s="2" t="s">
        <v>66</v>
      </c>
    </row>
    <row r="50" customFormat="false" ht="15" hidden="false" customHeight="false" outlineLevel="0" collapsed="false">
      <c r="B50" s="4" t="s">
        <v>67</v>
      </c>
      <c r="C50" s="2" t="s">
        <v>68</v>
      </c>
    </row>
    <row r="51" customFormat="false" ht="15" hidden="false" customHeight="false" outlineLevel="0" collapsed="false">
      <c r="B51" s="4" t="s">
        <v>69</v>
      </c>
      <c r="C51" s="2" t="s">
        <v>70</v>
      </c>
    </row>
    <row r="52" customFormat="false" ht="15" hidden="false" customHeight="false" outlineLevel="0" collapsed="false">
      <c r="B52" s="4" t="s">
        <v>71</v>
      </c>
      <c r="C52" s="2" t="s">
        <v>72</v>
      </c>
    </row>
    <row r="54" customFormat="false" ht="15" hidden="false" customHeight="false" outlineLevel="0" collapsed="false">
      <c r="B54" s="3" t="s">
        <v>73</v>
      </c>
    </row>
    <row r="55" customFormat="false" ht="42" hidden="false" customHeight="true" outlineLevel="0" collapsed="false">
      <c r="C55" s="7" t="s">
        <v>74</v>
      </c>
    </row>
    <row r="56" customFormat="false" ht="42" hidden="false" customHeight="true" outlineLevel="0" collapsed="false">
      <c r="C56" s="7" t="s">
        <v>75</v>
      </c>
    </row>
    <row r="57" customFormat="false" ht="42" hidden="false" customHeight="true" outlineLevel="0" collapsed="false">
      <c r="C57" s="7" t="s">
        <v>76</v>
      </c>
    </row>
    <row r="58" customFormat="false" ht="42" hidden="false" customHeight="true" outlineLevel="0" collapsed="false">
      <c r="C58" s="7" t="s">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62"/>
    <col collapsed="false" customWidth="true" hidden="false" outlineLevel="0" max="4" min="4" style="0" width="11"/>
    <col collapsed="false" customWidth="true" hidden="false" outlineLevel="0" max="5" min="5" style="0" width="12"/>
    <col collapsed="false" customWidth="true" hidden="false" outlineLevel="0" max="6" min="6" style="0" width="18"/>
    <col collapsed="false" customWidth="true" hidden="false" outlineLevel="0" max="7" min="7" style="0" width="10"/>
    <col collapsed="false" customWidth="true" hidden="false" outlineLevel="0" max="8" min="8" style="0" width="8"/>
    <col collapsed="false" customWidth="true" hidden="false" outlineLevel="0" max="9" min="9" style="0" width="34"/>
    <col collapsed="false" customWidth="true" hidden="false" outlineLevel="0" max="10" min="10" style="0" width="18"/>
    <col collapsed="false" customWidth="true" hidden="false" outlineLevel="0" max="12" min="11" style="0" width="34"/>
    <col collapsed="false" customWidth="true" hidden="false" outlineLevel="0" max="13" min="13" style="0" width="9"/>
    <col collapsed="false" customWidth="true" hidden="false" outlineLevel="0" max="14" min="14" style="0" width="12"/>
    <col collapsed="false" customWidth="true" hidden="false" outlineLevel="0" max="15" min="15" style="0" width="14"/>
    <col collapsed="false" customWidth="true" hidden="false" outlineLevel="0" max="18" min="16" style="0" width="16"/>
  </cols>
  <sheetData>
    <row r="1" customFormat="false" ht="17.35" hidden="false" customHeight="false" outlineLevel="0" collapsed="false">
      <c r="A1" s="10" t="s">
        <v>78</v>
      </c>
    </row>
    <row r="2" customFormat="false" ht="15" hidden="false" customHeight="false" outlineLevel="0" collapsed="false">
      <c r="A2" s="2" t="str">
        <f aca="false">"Scope: "&amp;IF(Instructions!C7="","(set on Instructions tab)",Instructions!C7)&amp;"   |   Organization: "&amp;IF(Instructions!C6="","—",Instructions!C6)</f>
        <v>Scope: (set on Instructions tab)   |   Organization: —</v>
      </c>
    </row>
    <row r="4" customFormat="false" ht="36" hidden="false" customHeight="true" outlineLevel="0" collapsed="false">
      <c r="A4" s="11" t="s">
        <v>79</v>
      </c>
      <c r="B4" s="11" t="s">
        <v>80</v>
      </c>
      <c r="C4" s="11" t="s">
        <v>81</v>
      </c>
      <c r="D4" s="11" t="s">
        <v>82</v>
      </c>
      <c r="E4" s="11" t="s">
        <v>83</v>
      </c>
      <c r="F4" s="11" t="s">
        <v>84</v>
      </c>
      <c r="G4" s="11" t="s">
        <v>85</v>
      </c>
      <c r="H4" s="11" t="s">
        <v>86</v>
      </c>
      <c r="I4" s="11" t="s">
        <v>87</v>
      </c>
      <c r="J4" s="11" t="s">
        <v>65</v>
      </c>
      <c r="K4" s="11" t="s">
        <v>67</v>
      </c>
      <c r="L4" s="11" t="s">
        <v>88</v>
      </c>
      <c r="M4" s="11" t="s">
        <v>89</v>
      </c>
      <c r="N4" s="11" t="s">
        <v>90</v>
      </c>
      <c r="O4" s="11" t="s">
        <v>91</v>
      </c>
      <c r="P4" s="11" t="s">
        <v>92</v>
      </c>
      <c r="Q4" s="11" t="s">
        <v>93</v>
      </c>
      <c r="R4" s="11" t="s">
        <v>94</v>
      </c>
    </row>
    <row r="5" customFormat="false" ht="35.05" hidden="false" customHeight="false" outlineLevel="0" collapsed="false">
      <c r="A5" s="12" t="s">
        <v>95</v>
      </c>
      <c r="B5" s="13" t="s">
        <v>96</v>
      </c>
      <c r="C5" s="13" t="s">
        <v>97</v>
      </c>
      <c r="D5" s="14" t="n">
        <v>1</v>
      </c>
      <c r="E5" s="15" t="s">
        <v>98</v>
      </c>
      <c r="F5" s="16"/>
      <c r="G5" s="15"/>
      <c r="H5" s="17" t="str">
        <f aca="false">IF(F5="Implemented",1,IF(F5="Partially Implemented",0.5,IF(F5="Not Implemented",0,"")))</f>
        <v/>
      </c>
      <c r="I5" s="16"/>
      <c r="J5" s="16"/>
      <c r="K5" s="16"/>
      <c r="L5" s="16"/>
      <c r="M5" s="18" t="str">
        <f aca="false">IF(OR(F5="",F5="Implemented",F5="Not Applicable"),"",IF(AND(E5="High",F5="Not Implemented"),"P1",IF(OR(E5="High",AND(E5="Medium",F5="Not Implemented")),"P2","P3")))</f>
        <v/>
      </c>
      <c r="N5" s="19"/>
      <c r="O5" s="13" t="s">
        <v>99</v>
      </c>
      <c r="P5" s="13" t="s">
        <v>100</v>
      </c>
      <c r="Q5" s="13" t="s">
        <v>101</v>
      </c>
      <c r="R5" s="13" t="s">
        <v>99</v>
      </c>
    </row>
    <row r="6" customFormat="false" ht="35.05" hidden="false" customHeight="false" outlineLevel="0" collapsed="false">
      <c r="A6" s="12" t="s">
        <v>102</v>
      </c>
      <c r="B6" s="13" t="s">
        <v>96</v>
      </c>
      <c r="C6" s="13" t="s">
        <v>103</v>
      </c>
      <c r="D6" s="14" t="n">
        <v>2</v>
      </c>
      <c r="E6" s="15" t="s">
        <v>98</v>
      </c>
      <c r="F6" s="16"/>
      <c r="G6" s="15"/>
      <c r="H6" s="17" t="str">
        <f aca="false">IF(F6="Implemented",1,IF(F6="Partially Implemented",0.5,IF(F6="Not Implemented",0,"")))</f>
        <v/>
      </c>
      <c r="I6" s="16"/>
      <c r="J6" s="16"/>
      <c r="K6" s="16"/>
      <c r="L6" s="16"/>
      <c r="M6" s="18" t="str">
        <f aca="false">IF(OR(F6="",F6="Implemented",F6="Not Applicable"),"",IF(AND(E6="High",F6="Not Implemented"),"P1",IF(OR(E6="High",AND(E6="Medium",F6="Not Implemented")),"P2","P3")))</f>
        <v/>
      </c>
      <c r="N6" s="19"/>
      <c r="O6" s="13" t="s">
        <v>104</v>
      </c>
      <c r="P6" s="13" t="s">
        <v>105</v>
      </c>
      <c r="Q6" s="13" t="s">
        <v>106</v>
      </c>
      <c r="R6" s="13" t="s">
        <v>107</v>
      </c>
    </row>
    <row r="7" customFormat="false" ht="23.85" hidden="false" customHeight="false" outlineLevel="0" collapsed="false">
      <c r="A7" s="12" t="s">
        <v>108</v>
      </c>
      <c r="B7" s="13" t="s">
        <v>96</v>
      </c>
      <c r="C7" s="13" t="s">
        <v>109</v>
      </c>
      <c r="D7" s="14" t="n">
        <v>2</v>
      </c>
      <c r="E7" s="15" t="s">
        <v>98</v>
      </c>
      <c r="F7" s="16"/>
      <c r="G7" s="15"/>
      <c r="H7" s="17" t="str">
        <f aca="false">IF(F7="Implemented",1,IF(F7="Partially Implemented",0.5,IF(F7="Not Implemented",0,"")))</f>
        <v/>
      </c>
      <c r="I7" s="16"/>
      <c r="J7" s="16"/>
      <c r="K7" s="16"/>
      <c r="L7" s="16"/>
      <c r="M7" s="18" t="str">
        <f aca="false">IF(OR(F7="",F7="Implemented",F7="Not Applicable"),"",IF(AND(E7="High",F7="Not Implemented"),"P1",IF(OR(E7="High",AND(E7="Medium",F7="Not Implemented")),"P2","P3")))</f>
        <v/>
      </c>
      <c r="N7" s="19"/>
      <c r="O7" s="13" t="s">
        <v>99</v>
      </c>
      <c r="P7" s="13" t="s">
        <v>110</v>
      </c>
      <c r="Q7" s="13" t="s">
        <v>111</v>
      </c>
      <c r="R7" s="13" t="s">
        <v>99</v>
      </c>
    </row>
    <row r="8" customFormat="false" ht="23.85" hidden="false" customHeight="false" outlineLevel="0" collapsed="false">
      <c r="A8" s="12" t="s">
        <v>112</v>
      </c>
      <c r="B8" s="13" t="s">
        <v>96</v>
      </c>
      <c r="C8" s="13" t="s">
        <v>113</v>
      </c>
      <c r="D8" s="14" t="s">
        <v>99</v>
      </c>
      <c r="E8" s="15" t="s">
        <v>98</v>
      </c>
      <c r="F8" s="16"/>
      <c r="G8" s="15"/>
      <c r="H8" s="17" t="str">
        <f aca="false">IF(F8="Implemented",1,IF(F8="Partially Implemented",0.5,IF(F8="Not Implemented",0,"")))</f>
        <v/>
      </c>
      <c r="I8" s="16"/>
      <c r="J8" s="16"/>
      <c r="K8" s="16"/>
      <c r="L8" s="16"/>
      <c r="M8" s="18" t="str">
        <f aca="false">IF(OR(F8="",F8="Implemented",F8="Not Applicable"),"",IF(AND(E8="High",F8="Not Implemented"),"P1",IF(OR(E8="High",AND(E8="Medium",F8="Not Implemented")),"P2","P3")))</f>
        <v/>
      </c>
      <c r="N8" s="19"/>
      <c r="O8" s="13" t="s">
        <v>114</v>
      </c>
      <c r="P8" s="13" t="s">
        <v>115</v>
      </c>
      <c r="Q8" s="13" t="s">
        <v>116</v>
      </c>
      <c r="R8" s="13" t="s">
        <v>117</v>
      </c>
    </row>
    <row r="9" customFormat="false" ht="23.85" hidden="false" customHeight="false" outlineLevel="0" collapsed="false">
      <c r="A9" s="12" t="s">
        <v>118</v>
      </c>
      <c r="B9" s="13" t="s">
        <v>96</v>
      </c>
      <c r="C9" s="13" t="s">
        <v>119</v>
      </c>
      <c r="D9" s="14" t="s">
        <v>99</v>
      </c>
      <c r="E9" s="15" t="s">
        <v>120</v>
      </c>
      <c r="F9" s="16"/>
      <c r="G9" s="15"/>
      <c r="H9" s="17" t="str">
        <f aca="false">IF(F9="Implemented",1,IF(F9="Partially Implemented",0.5,IF(F9="Not Implemented",0,"")))</f>
        <v/>
      </c>
      <c r="I9" s="16"/>
      <c r="J9" s="16"/>
      <c r="K9" s="16"/>
      <c r="L9" s="16"/>
      <c r="M9" s="18" t="str">
        <f aca="false">IF(OR(F9="",F9="Implemented",F9="Not Applicable"),"",IF(AND(E9="High",F9="Not Implemented"),"P1",IF(OR(E9="High",AND(E9="Medium",F9="Not Implemented")),"P2","P3")))</f>
        <v/>
      </c>
      <c r="N9" s="19"/>
      <c r="O9" s="13" t="s">
        <v>121</v>
      </c>
      <c r="P9" s="13" t="s">
        <v>122</v>
      </c>
      <c r="Q9" s="13" t="s">
        <v>123</v>
      </c>
      <c r="R9" s="13" t="s">
        <v>117</v>
      </c>
    </row>
    <row r="10" customFormat="false" ht="23.85" hidden="false" customHeight="false" outlineLevel="0" collapsed="false">
      <c r="A10" s="12" t="s">
        <v>124</v>
      </c>
      <c r="B10" s="13" t="s">
        <v>96</v>
      </c>
      <c r="C10" s="13" t="s">
        <v>125</v>
      </c>
      <c r="D10" s="14" t="s">
        <v>99</v>
      </c>
      <c r="E10" s="15" t="s">
        <v>120</v>
      </c>
      <c r="F10" s="16"/>
      <c r="G10" s="15"/>
      <c r="H10" s="17" t="str">
        <f aca="false">IF(F10="Implemented",1,IF(F10="Partially Implemented",0.5,IF(F10="Not Implemented",0,"")))</f>
        <v/>
      </c>
      <c r="I10" s="16"/>
      <c r="J10" s="16"/>
      <c r="K10" s="16"/>
      <c r="L10" s="16"/>
      <c r="M10" s="18" t="str">
        <f aca="false">IF(OR(F10="",F10="Implemented",F10="Not Applicable"),"",IF(AND(E10="High",F10="Not Implemented"),"P1",IF(OR(E10="High",AND(E10="Medium",F10="Not Implemented")),"P2","P3")))</f>
        <v/>
      </c>
      <c r="N10" s="19"/>
      <c r="O10" s="13" t="s">
        <v>126</v>
      </c>
      <c r="P10" s="13" t="s">
        <v>127</v>
      </c>
      <c r="Q10" s="13" t="s">
        <v>128</v>
      </c>
      <c r="R10" s="13" t="s">
        <v>99</v>
      </c>
    </row>
    <row r="11" customFormat="false" ht="35.05" hidden="false" customHeight="false" outlineLevel="0" collapsed="false">
      <c r="A11" s="12" t="s">
        <v>129</v>
      </c>
      <c r="B11" s="13" t="s">
        <v>130</v>
      </c>
      <c r="C11" s="13" t="s">
        <v>131</v>
      </c>
      <c r="D11" s="14" t="n">
        <v>13</v>
      </c>
      <c r="E11" s="15" t="s">
        <v>98</v>
      </c>
      <c r="F11" s="16"/>
      <c r="G11" s="15"/>
      <c r="H11" s="17" t="str">
        <f aca="false">IF(F11="Implemented",1,IF(F11="Partially Implemented",0.5,IF(F11="Not Implemented",0,"")))</f>
        <v/>
      </c>
      <c r="I11" s="16"/>
      <c r="J11" s="16"/>
      <c r="K11" s="16"/>
      <c r="L11" s="16"/>
      <c r="M11" s="18" t="str">
        <f aca="false">IF(OR(F11="",F11="Implemented",F11="Not Applicable"),"",IF(AND(E11="High",F11="Not Implemented"),"P1",IF(OR(E11="High",AND(E11="Medium",F11="Not Implemented")),"P2","P3")))</f>
        <v/>
      </c>
      <c r="N11" s="19"/>
      <c r="O11" s="13" t="s">
        <v>99</v>
      </c>
      <c r="P11" s="13" t="s">
        <v>132</v>
      </c>
      <c r="Q11" s="13" t="s">
        <v>133</v>
      </c>
      <c r="R11" s="13" t="s">
        <v>99</v>
      </c>
    </row>
    <row r="12" customFormat="false" ht="35.05" hidden="false" customHeight="false" outlineLevel="0" collapsed="false">
      <c r="A12" s="12" t="s">
        <v>104</v>
      </c>
      <c r="B12" s="13" t="s">
        <v>130</v>
      </c>
      <c r="C12" s="13" t="s">
        <v>134</v>
      </c>
      <c r="D12" s="14" t="n">
        <v>13</v>
      </c>
      <c r="E12" s="15" t="s">
        <v>98</v>
      </c>
      <c r="F12" s="16"/>
      <c r="G12" s="15"/>
      <c r="H12" s="17" t="str">
        <f aca="false">IF(F12="Implemented",1,IF(F12="Partially Implemented",0.5,IF(F12="Not Implemented",0,"")))</f>
        <v/>
      </c>
      <c r="I12" s="16"/>
      <c r="J12" s="16"/>
      <c r="K12" s="16"/>
      <c r="L12" s="16"/>
      <c r="M12" s="18" t="str">
        <f aca="false">IF(OR(F12="",F12="Implemented",F12="Not Applicable"),"",IF(AND(E12="High",F12="Not Implemented"),"P1",IF(OR(E12="High",AND(E12="Medium",F12="Not Implemented")),"P2","P3")))</f>
        <v/>
      </c>
      <c r="N12" s="19"/>
      <c r="O12" s="13" t="s">
        <v>102</v>
      </c>
      <c r="P12" s="13" t="s">
        <v>135</v>
      </c>
      <c r="Q12" s="13" t="s">
        <v>106</v>
      </c>
      <c r="R12" s="13" t="s">
        <v>107</v>
      </c>
    </row>
    <row r="13" customFormat="false" ht="46.25" hidden="false" customHeight="false" outlineLevel="0" collapsed="false">
      <c r="A13" s="12" t="s">
        <v>136</v>
      </c>
      <c r="B13" s="13" t="s">
        <v>130</v>
      </c>
      <c r="C13" s="13" t="s">
        <v>137</v>
      </c>
      <c r="D13" s="14" t="n">
        <v>13</v>
      </c>
      <c r="E13" s="15" t="s">
        <v>98</v>
      </c>
      <c r="F13" s="16"/>
      <c r="G13" s="15"/>
      <c r="H13" s="17" t="str">
        <f aca="false">IF(F13="Implemented",1,IF(F13="Partially Implemented",0.5,IF(F13="Not Implemented",0,"")))</f>
        <v/>
      </c>
      <c r="I13" s="16"/>
      <c r="J13" s="16"/>
      <c r="K13" s="16"/>
      <c r="L13" s="16"/>
      <c r="M13" s="18" t="str">
        <f aca="false">IF(OR(F13="",F13="Implemented",F13="Not Applicable"),"",IF(AND(E13="High",F13="Not Implemented"),"P1",IF(OR(E13="High",AND(E13="Medium",F13="Not Implemented")),"P2","P3")))</f>
        <v/>
      </c>
      <c r="N13" s="19"/>
      <c r="O13" s="13" t="s">
        <v>138</v>
      </c>
      <c r="P13" s="13" t="s">
        <v>139</v>
      </c>
      <c r="Q13" s="13" t="s">
        <v>106</v>
      </c>
      <c r="R13" s="13" t="s">
        <v>140</v>
      </c>
    </row>
    <row r="14" customFormat="false" ht="35.05" hidden="false" customHeight="false" outlineLevel="0" collapsed="false">
      <c r="A14" s="12" t="s">
        <v>141</v>
      </c>
      <c r="B14" s="13" t="s">
        <v>130</v>
      </c>
      <c r="C14" s="13" t="s">
        <v>142</v>
      </c>
      <c r="D14" s="14" t="n">
        <v>9</v>
      </c>
      <c r="E14" s="15" t="s">
        <v>98</v>
      </c>
      <c r="F14" s="16"/>
      <c r="G14" s="15"/>
      <c r="H14" s="17" t="str">
        <f aca="false">IF(F14="Implemented",1,IF(F14="Partially Implemented",0.5,IF(F14="Not Implemented",0,"")))</f>
        <v/>
      </c>
      <c r="I14" s="16"/>
      <c r="J14" s="16"/>
      <c r="K14" s="16"/>
      <c r="L14" s="16"/>
      <c r="M14" s="18" t="str">
        <f aca="false">IF(OR(F14="",F14="Implemented",F14="Not Applicable"),"",IF(AND(E14="High",F14="Not Implemented"),"P1",IF(OR(E14="High",AND(E14="Medium",F14="Not Implemented")),"P2","P3")))</f>
        <v/>
      </c>
      <c r="N14" s="19"/>
      <c r="O14" s="13" t="s">
        <v>143</v>
      </c>
      <c r="P14" s="13" t="s">
        <v>144</v>
      </c>
      <c r="Q14" s="13" t="s">
        <v>106</v>
      </c>
      <c r="R14" s="13" t="s">
        <v>145</v>
      </c>
    </row>
    <row r="15" customFormat="false" ht="35.05" hidden="false" customHeight="false" outlineLevel="0" collapsed="false">
      <c r="A15" s="12" t="s">
        <v>146</v>
      </c>
      <c r="B15" s="13" t="s">
        <v>130</v>
      </c>
      <c r="C15" s="13" t="s">
        <v>147</v>
      </c>
      <c r="D15" s="14" t="n">
        <v>13</v>
      </c>
      <c r="E15" s="15" t="s">
        <v>98</v>
      </c>
      <c r="F15" s="16"/>
      <c r="G15" s="15"/>
      <c r="H15" s="17" t="str">
        <f aca="false">IF(F15="Implemented",1,IF(F15="Partially Implemented",0.5,IF(F15="Not Implemented",0,"")))</f>
        <v/>
      </c>
      <c r="I15" s="16"/>
      <c r="J15" s="16"/>
      <c r="K15" s="16"/>
      <c r="L15" s="16"/>
      <c r="M15" s="18" t="str">
        <f aca="false">IF(OR(F15="",F15="Implemented",F15="Not Applicable"),"",IF(AND(E15="High",F15="Not Implemented"),"P1",IF(OR(E15="High",AND(E15="Medium",F15="Not Implemented")),"P2","P3")))</f>
        <v/>
      </c>
      <c r="N15" s="19"/>
      <c r="O15" s="13" t="s">
        <v>148</v>
      </c>
      <c r="P15" s="13" t="s">
        <v>149</v>
      </c>
      <c r="Q15" s="13" t="s">
        <v>150</v>
      </c>
      <c r="R15" s="13" t="s">
        <v>99</v>
      </c>
    </row>
    <row r="16" customFormat="false" ht="35.05" hidden="false" customHeight="false" outlineLevel="0" collapsed="false">
      <c r="A16" s="12" t="s">
        <v>151</v>
      </c>
      <c r="B16" s="13" t="s">
        <v>130</v>
      </c>
      <c r="C16" s="13" t="s">
        <v>152</v>
      </c>
      <c r="D16" s="14" t="n">
        <v>13</v>
      </c>
      <c r="E16" s="15" t="s">
        <v>120</v>
      </c>
      <c r="F16" s="16"/>
      <c r="G16" s="15"/>
      <c r="H16" s="17" t="str">
        <f aca="false">IF(F16="Implemented",1,IF(F16="Partially Implemented",0.5,IF(F16="Not Implemented",0,"")))</f>
        <v/>
      </c>
      <c r="I16" s="16"/>
      <c r="J16" s="16"/>
      <c r="K16" s="16"/>
      <c r="L16" s="16"/>
      <c r="M16" s="18" t="str">
        <f aca="false">IF(OR(F16="",F16="Implemented",F16="Not Applicable"),"",IF(AND(E16="High",F16="Not Implemented"),"P1",IF(OR(E16="High",AND(E16="Medium",F16="Not Implemented")),"P2","P3")))</f>
        <v/>
      </c>
      <c r="N16" s="19"/>
      <c r="O16" s="13" t="s">
        <v>153</v>
      </c>
      <c r="P16" s="13" t="s">
        <v>154</v>
      </c>
      <c r="Q16" s="13" t="s">
        <v>155</v>
      </c>
      <c r="R16" s="13" t="s">
        <v>99</v>
      </c>
    </row>
    <row r="17" customFormat="false" ht="35.05" hidden="false" customHeight="false" outlineLevel="0" collapsed="false">
      <c r="A17" s="12" t="s">
        <v>156</v>
      </c>
      <c r="B17" s="13" t="s">
        <v>130</v>
      </c>
      <c r="C17" s="13" t="s">
        <v>157</v>
      </c>
      <c r="D17" s="14" t="n">
        <v>13</v>
      </c>
      <c r="E17" s="15" t="s">
        <v>120</v>
      </c>
      <c r="F17" s="16"/>
      <c r="G17" s="15"/>
      <c r="H17" s="17" t="str">
        <f aca="false">IF(F17="Implemented",1,IF(F17="Partially Implemented",0.5,IF(F17="Not Implemented",0,"")))</f>
        <v/>
      </c>
      <c r="I17" s="16"/>
      <c r="J17" s="16"/>
      <c r="K17" s="16"/>
      <c r="L17" s="16"/>
      <c r="M17" s="18" t="str">
        <f aca="false">IF(OR(F17="",F17="Implemented",F17="Not Applicable"),"",IF(AND(E17="High",F17="Not Implemented"),"P1",IF(OR(E17="High",AND(E17="Medium",F17="Not Implemented")),"P2","P3")))</f>
        <v/>
      </c>
      <c r="N17" s="19"/>
      <c r="O17" s="13" t="s">
        <v>158</v>
      </c>
      <c r="P17" s="13" t="s">
        <v>159</v>
      </c>
      <c r="Q17" s="13" t="s">
        <v>160</v>
      </c>
      <c r="R17" s="13" t="s">
        <v>161</v>
      </c>
    </row>
    <row r="18" customFormat="false" ht="46.25" hidden="false" customHeight="false" outlineLevel="0" collapsed="false">
      <c r="A18" s="12" t="s">
        <v>162</v>
      </c>
      <c r="B18" s="13" t="s">
        <v>130</v>
      </c>
      <c r="C18" s="13" t="s">
        <v>163</v>
      </c>
      <c r="D18" s="14" t="n">
        <v>14</v>
      </c>
      <c r="E18" s="15" t="s">
        <v>98</v>
      </c>
      <c r="F18" s="16"/>
      <c r="G18" s="15"/>
      <c r="H18" s="17" t="str">
        <f aca="false">IF(F18="Implemented",1,IF(F18="Partially Implemented",0.5,IF(F18="Not Implemented",0,"")))</f>
        <v/>
      </c>
      <c r="I18" s="16"/>
      <c r="J18" s="16"/>
      <c r="K18" s="16"/>
      <c r="L18" s="16"/>
      <c r="M18" s="18" t="str">
        <f aca="false">IF(OR(F18="",F18="Implemented",F18="Not Applicable"),"",IF(AND(E18="High",F18="Not Implemented"),"P1",IF(OR(E18="High",AND(E18="Medium",F18="Not Implemented")),"P2","P3")))</f>
        <v/>
      </c>
      <c r="N18" s="19"/>
      <c r="O18" s="13" t="s">
        <v>99</v>
      </c>
      <c r="P18" s="13" t="s">
        <v>159</v>
      </c>
      <c r="Q18" s="13" t="s">
        <v>164</v>
      </c>
      <c r="R18" s="13" t="s">
        <v>165</v>
      </c>
    </row>
    <row r="19" customFormat="false" ht="35.05" hidden="false" customHeight="false" outlineLevel="0" collapsed="false">
      <c r="A19" s="12" t="s">
        <v>166</v>
      </c>
      <c r="B19" s="13" t="s">
        <v>130</v>
      </c>
      <c r="C19" s="13" t="s">
        <v>167</v>
      </c>
      <c r="D19" s="14" t="n">
        <v>14</v>
      </c>
      <c r="E19" s="15" t="s">
        <v>120</v>
      </c>
      <c r="F19" s="16"/>
      <c r="G19" s="15"/>
      <c r="H19" s="17" t="str">
        <f aca="false">IF(F19="Implemented",1,IF(F19="Partially Implemented",0.5,IF(F19="Not Implemented",0,"")))</f>
        <v/>
      </c>
      <c r="I19" s="16"/>
      <c r="J19" s="16"/>
      <c r="K19" s="16"/>
      <c r="L19" s="16"/>
      <c r="M19" s="18" t="str">
        <f aca="false">IF(OR(F19="",F19="Implemented",F19="Not Applicable"),"",IF(AND(E19="High",F19="Not Implemented"),"P1",IF(OR(E19="High",AND(E19="Medium",F19="Not Implemented")),"P2","P3")))</f>
        <v/>
      </c>
      <c r="N19" s="19"/>
      <c r="O19" s="13" t="s">
        <v>162</v>
      </c>
      <c r="P19" s="13" t="s">
        <v>159</v>
      </c>
      <c r="Q19" s="13" t="s">
        <v>164</v>
      </c>
      <c r="R19" s="13" t="s">
        <v>168</v>
      </c>
    </row>
    <row r="20" customFormat="false" ht="46.25" hidden="false" customHeight="false" outlineLevel="0" collapsed="false">
      <c r="A20" s="12" t="s">
        <v>169</v>
      </c>
      <c r="B20" s="13" t="s">
        <v>130</v>
      </c>
      <c r="C20" s="13" t="s">
        <v>170</v>
      </c>
      <c r="D20" s="14" t="s">
        <v>99</v>
      </c>
      <c r="E20" s="15" t="s">
        <v>120</v>
      </c>
      <c r="F20" s="16"/>
      <c r="G20" s="15"/>
      <c r="H20" s="17" t="str">
        <f aca="false">IF(F20="Implemented",1,IF(F20="Partially Implemented",0.5,IF(F20="Not Implemented",0,"")))</f>
        <v/>
      </c>
      <c r="I20" s="16"/>
      <c r="J20" s="16"/>
      <c r="K20" s="16"/>
      <c r="L20" s="16"/>
      <c r="M20" s="18" t="str">
        <f aca="false">IF(OR(F20="",F20="Implemented",F20="Not Applicable"),"",IF(AND(E20="High",F20="Not Implemented"),"P1",IF(OR(E20="High",AND(E20="Medium",F20="Not Implemented")),"P2","P3")))</f>
        <v/>
      </c>
      <c r="N20" s="19"/>
      <c r="O20" s="13" t="s">
        <v>171</v>
      </c>
      <c r="P20" s="13" t="s">
        <v>172</v>
      </c>
      <c r="Q20" s="13" t="s">
        <v>173</v>
      </c>
      <c r="R20" s="13" t="s">
        <v>174</v>
      </c>
    </row>
    <row r="21" customFormat="false" ht="35.05" hidden="false" customHeight="false" outlineLevel="0" collapsed="false">
      <c r="A21" s="12" t="s">
        <v>121</v>
      </c>
      <c r="B21" s="13" t="s">
        <v>130</v>
      </c>
      <c r="C21" s="13" t="s">
        <v>175</v>
      </c>
      <c r="D21" s="14" t="n">
        <v>13</v>
      </c>
      <c r="E21" s="15" t="s">
        <v>98</v>
      </c>
      <c r="F21" s="16"/>
      <c r="G21" s="15"/>
      <c r="H21" s="17" t="str">
        <f aca="false">IF(F21="Implemented",1,IF(F21="Partially Implemented",0.5,IF(F21="Not Implemented",0,"")))</f>
        <v/>
      </c>
      <c r="I21" s="16"/>
      <c r="J21" s="16"/>
      <c r="K21" s="16"/>
      <c r="L21" s="16"/>
      <c r="M21" s="18" t="str">
        <f aca="false">IF(OR(F21="",F21="Implemented",F21="Not Applicable"),"",IF(AND(E21="High",F21="Not Implemented"),"P1",IF(OR(E21="High",AND(E21="Medium",F21="Not Implemented")),"P2","P3")))</f>
        <v/>
      </c>
      <c r="N21" s="19"/>
      <c r="O21" s="13" t="s">
        <v>118</v>
      </c>
      <c r="P21" s="13" t="s">
        <v>176</v>
      </c>
      <c r="Q21" s="13" t="s">
        <v>150</v>
      </c>
      <c r="R21" s="13" t="s">
        <v>99</v>
      </c>
    </row>
    <row r="22" customFormat="false" ht="35.05" hidden="false" customHeight="false" outlineLevel="0" collapsed="false">
      <c r="A22" s="12" t="s">
        <v>177</v>
      </c>
      <c r="B22" s="13" t="s">
        <v>130</v>
      </c>
      <c r="C22" s="13" t="s">
        <v>178</v>
      </c>
      <c r="D22" s="14" t="n">
        <v>11</v>
      </c>
      <c r="E22" s="15" t="s">
        <v>98</v>
      </c>
      <c r="F22" s="16"/>
      <c r="G22" s="15"/>
      <c r="H22" s="17" t="str">
        <f aca="false">IF(F22="Implemented",1,IF(F22="Partially Implemented",0.5,IF(F22="Not Implemented",0,"")))</f>
        <v/>
      </c>
      <c r="I22" s="16"/>
      <c r="J22" s="16"/>
      <c r="K22" s="16"/>
      <c r="L22" s="16"/>
      <c r="M22" s="18" t="str">
        <f aca="false">IF(OR(F22="",F22="Implemented",F22="Not Applicable"),"",IF(AND(E22="High",F22="Not Implemented"),"P1",IF(OR(E22="High",AND(E22="Medium",F22="Not Implemented")),"P2","P3")))</f>
        <v/>
      </c>
      <c r="N22" s="19"/>
      <c r="O22" s="13" t="s">
        <v>179</v>
      </c>
      <c r="P22" s="13" t="s">
        <v>180</v>
      </c>
      <c r="Q22" s="13" t="s">
        <v>181</v>
      </c>
      <c r="R22" s="13" t="s">
        <v>182</v>
      </c>
    </row>
    <row r="23" customFormat="false" ht="35.05" hidden="false" customHeight="false" outlineLevel="0" collapsed="false">
      <c r="A23" s="12" t="s">
        <v>183</v>
      </c>
      <c r="B23" s="13" t="s">
        <v>130</v>
      </c>
      <c r="C23" s="13" t="s">
        <v>184</v>
      </c>
      <c r="D23" s="14" t="s">
        <v>99</v>
      </c>
      <c r="E23" s="15" t="s">
        <v>120</v>
      </c>
      <c r="F23" s="16"/>
      <c r="G23" s="15"/>
      <c r="H23" s="17" t="str">
        <f aca="false">IF(F23="Implemented",1,IF(F23="Partially Implemented",0.5,IF(F23="Not Implemented",0,"")))</f>
        <v/>
      </c>
      <c r="I23" s="16"/>
      <c r="J23" s="16"/>
      <c r="K23" s="16"/>
      <c r="L23" s="16"/>
      <c r="M23" s="18" t="str">
        <f aca="false">IF(OR(F23="",F23="Implemented",F23="Not Applicable"),"",IF(AND(E23="High",F23="Not Implemented"),"P1",IF(OR(E23="High",AND(E23="Medium",F23="Not Implemented")),"P2","P3")))</f>
        <v/>
      </c>
      <c r="N23" s="19"/>
      <c r="O23" s="13" t="s">
        <v>185</v>
      </c>
      <c r="P23" s="13" t="s">
        <v>180</v>
      </c>
      <c r="Q23" s="13" t="s">
        <v>181</v>
      </c>
      <c r="R23" s="13" t="s">
        <v>186</v>
      </c>
    </row>
    <row r="24" customFormat="false" ht="35.05" hidden="false" customHeight="false" outlineLevel="0" collapsed="false">
      <c r="A24" s="12" t="s">
        <v>187</v>
      </c>
      <c r="B24" s="13" t="s">
        <v>130</v>
      </c>
      <c r="C24" s="13" t="s">
        <v>188</v>
      </c>
      <c r="D24" s="14" t="n">
        <v>12</v>
      </c>
      <c r="E24" s="15" t="s">
        <v>120</v>
      </c>
      <c r="F24" s="16"/>
      <c r="G24" s="15"/>
      <c r="H24" s="17" t="str">
        <f aca="false">IF(F24="Implemented",1,IF(F24="Partially Implemented",0.5,IF(F24="Not Implemented",0,"")))</f>
        <v/>
      </c>
      <c r="I24" s="16"/>
      <c r="J24" s="16"/>
      <c r="K24" s="16"/>
      <c r="L24" s="16"/>
      <c r="M24" s="18" t="str">
        <f aca="false">IF(OR(F24="",F24="Implemented",F24="Not Applicable"),"",IF(AND(E24="High",F24="Not Implemented"),"P1",IF(OR(E24="High",AND(E24="Medium",F24="Not Implemented")),"P2","P3")))</f>
        <v/>
      </c>
      <c r="N24" s="19"/>
      <c r="O24" s="13" t="s">
        <v>189</v>
      </c>
      <c r="P24" s="13" t="s">
        <v>190</v>
      </c>
      <c r="Q24" s="13" t="s">
        <v>191</v>
      </c>
      <c r="R24" s="13" t="s">
        <v>192</v>
      </c>
    </row>
    <row r="25" customFormat="false" ht="35.05" hidden="false" customHeight="false" outlineLevel="0" collapsed="false">
      <c r="A25" s="12" t="s">
        <v>193</v>
      </c>
      <c r="B25" s="13" t="s">
        <v>130</v>
      </c>
      <c r="C25" s="13" t="s">
        <v>194</v>
      </c>
      <c r="D25" s="14" t="n">
        <v>15</v>
      </c>
      <c r="E25" s="15" t="s">
        <v>120</v>
      </c>
      <c r="F25" s="16"/>
      <c r="G25" s="15"/>
      <c r="H25" s="17" t="str">
        <f aca="false">IF(F25="Implemented",1,IF(F25="Partially Implemented",0.5,IF(F25="Not Implemented",0,"")))</f>
        <v/>
      </c>
      <c r="I25" s="16"/>
      <c r="J25" s="16"/>
      <c r="K25" s="16"/>
      <c r="L25" s="16"/>
      <c r="M25" s="18" t="str">
        <f aca="false">IF(OR(F25="",F25="Implemented",F25="Not Applicable"),"",IF(AND(E25="High",F25="Not Implemented"),"P1",IF(OR(E25="High",AND(E25="Medium",F25="Not Implemented")),"P2","P3")))</f>
        <v/>
      </c>
      <c r="N25" s="19"/>
      <c r="O25" s="13" t="s">
        <v>195</v>
      </c>
      <c r="P25" s="13" t="s">
        <v>149</v>
      </c>
      <c r="Q25" s="13" t="s">
        <v>196</v>
      </c>
      <c r="R25" s="13" t="s">
        <v>99</v>
      </c>
    </row>
    <row r="26" customFormat="false" ht="23.85" hidden="false" customHeight="false" outlineLevel="0" collapsed="false">
      <c r="A26" s="12" t="s">
        <v>114</v>
      </c>
      <c r="B26" s="13" t="s">
        <v>197</v>
      </c>
      <c r="C26" s="13" t="s">
        <v>198</v>
      </c>
      <c r="D26" s="14" t="n">
        <v>3</v>
      </c>
      <c r="E26" s="15" t="s">
        <v>98</v>
      </c>
      <c r="F26" s="16"/>
      <c r="G26" s="15"/>
      <c r="H26" s="17" t="str">
        <f aca="false">IF(F26="Implemented",1,IF(F26="Partially Implemented",0.5,IF(F26="Not Implemented",0,"")))</f>
        <v/>
      </c>
      <c r="I26" s="16"/>
      <c r="J26" s="16"/>
      <c r="K26" s="16"/>
      <c r="L26" s="16"/>
      <c r="M26" s="18" t="str">
        <f aca="false">IF(OR(F26="",F26="Implemented",F26="Not Applicable"),"",IF(AND(E26="High",F26="Not Implemented"),"P1",IF(OR(E26="High",AND(E26="Medium",F26="Not Implemented")),"P2","P3")))</f>
        <v/>
      </c>
      <c r="N26" s="19"/>
      <c r="O26" s="13" t="s">
        <v>112</v>
      </c>
      <c r="P26" s="13" t="s">
        <v>99</v>
      </c>
      <c r="Q26" s="13" t="s">
        <v>199</v>
      </c>
      <c r="R26" s="13" t="s">
        <v>117</v>
      </c>
    </row>
    <row r="27" customFormat="false" ht="23.85" hidden="false" customHeight="false" outlineLevel="0" collapsed="false">
      <c r="A27" s="12" t="s">
        <v>200</v>
      </c>
      <c r="B27" s="13" t="s">
        <v>197</v>
      </c>
      <c r="C27" s="13" t="s">
        <v>201</v>
      </c>
      <c r="D27" s="14" t="n">
        <v>4</v>
      </c>
      <c r="E27" s="15" t="s">
        <v>98</v>
      </c>
      <c r="F27" s="16"/>
      <c r="G27" s="15"/>
      <c r="H27" s="17" t="str">
        <f aca="false">IF(F27="Implemented",1,IF(F27="Partially Implemented",0.5,IF(F27="Not Implemented",0,"")))</f>
        <v/>
      </c>
      <c r="I27" s="16"/>
      <c r="J27" s="16"/>
      <c r="K27" s="16"/>
      <c r="L27" s="16"/>
      <c r="M27" s="18" t="str">
        <f aca="false">IF(OR(F27="",F27="Implemented",F27="Not Applicable"),"",IF(AND(E27="High",F27="Not Implemented"),"P1",IF(OR(E27="High",AND(E27="Medium",F27="Not Implemented")),"P2","P3")))</f>
        <v/>
      </c>
      <c r="N27" s="19"/>
      <c r="O27" s="13" t="s">
        <v>202</v>
      </c>
      <c r="P27" s="13" t="s">
        <v>99</v>
      </c>
      <c r="Q27" s="13" t="s">
        <v>203</v>
      </c>
      <c r="R27" s="13" t="s">
        <v>99</v>
      </c>
    </row>
    <row r="28" customFormat="false" ht="23.85" hidden="false" customHeight="false" outlineLevel="0" collapsed="false">
      <c r="A28" s="12" t="s">
        <v>204</v>
      </c>
      <c r="B28" s="13" t="s">
        <v>197</v>
      </c>
      <c r="C28" s="13" t="s">
        <v>205</v>
      </c>
      <c r="D28" s="14" t="n">
        <v>4</v>
      </c>
      <c r="E28" s="15" t="s">
        <v>98</v>
      </c>
      <c r="F28" s="16"/>
      <c r="G28" s="15"/>
      <c r="H28" s="17" t="str">
        <f aca="false">IF(F28="Implemented",1,IF(F28="Partially Implemented",0.5,IF(F28="Not Implemented",0,"")))</f>
        <v/>
      </c>
      <c r="I28" s="16"/>
      <c r="J28" s="16"/>
      <c r="K28" s="16"/>
      <c r="L28" s="16"/>
      <c r="M28" s="18" t="str">
        <f aca="false">IF(OR(F28="",F28="Implemented",F28="Not Applicable"),"",IF(AND(E28="High",F28="Not Implemented"),"P1",IF(OR(E28="High",AND(E28="Medium",F28="Not Implemented")),"P2","P3")))</f>
        <v/>
      </c>
      <c r="N28" s="19"/>
      <c r="O28" s="13" t="s">
        <v>202</v>
      </c>
      <c r="P28" s="13" t="s">
        <v>99</v>
      </c>
      <c r="Q28" s="13" t="s">
        <v>206</v>
      </c>
      <c r="R28" s="13" t="s">
        <v>99</v>
      </c>
    </row>
    <row r="29" customFormat="false" ht="23.85" hidden="false" customHeight="false" outlineLevel="0" collapsed="false">
      <c r="A29" s="12" t="s">
        <v>207</v>
      </c>
      <c r="B29" s="13" t="s">
        <v>197</v>
      </c>
      <c r="C29" s="13" t="s">
        <v>208</v>
      </c>
      <c r="D29" s="14" t="n">
        <v>3</v>
      </c>
      <c r="E29" s="15" t="s">
        <v>98</v>
      </c>
      <c r="F29" s="16"/>
      <c r="G29" s="15"/>
      <c r="H29" s="17" t="str">
        <f aca="false">IF(F29="Implemented",1,IF(F29="Partially Implemented",0.5,IF(F29="Not Implemented",0,"")))</f>
        <v/>
      </c>
      <c r="I29" s="16"/>
      <c r="J29" s="16"/>
      <c r="K29" s="16"/>
      <c r="L29" s="16"/>
      <c r="M29" s="18" t="str">
        <f aca="false">IF(OR(F29="",F29="Implemented",F29="Not Applicable"),"",IF(AND(E29="High",F29="Not Implemented"),"P1",IF(OR(E29="High",AND(E29="Medium",F29="Not Implemented")),"P2","P3")))</f>
        <v/>
      </c>
      <c r="N29" s="19"/>
      <c r="O29" s="13" t="s">
        <v>209</v>
      </c>
      <c r="P29" s="13" t="s">
        <v>99</v>
      </c>
      <c r="Q29" s="13" t="s">
        <v>210</v>
      </c>
      <c r="R29" s="13" t="s">
        <v>117</v>
      </c>
    </row>
    <row r="30" customFormat="false" ht="23.85" hidden="false" customHeight="false" outlineLevel="0" collapsed="false">
      <c r="A30" s="12" t="s">
        <v>211</v>
      </c>
      <c r="B30" s="13" t="s">
        <v>197</v>
      </c>
      <c r="C30" s="13" t="s">
        <v>212</v>
      </c>
      <c r="D30" s="14" t="n">
        <v>3</v>
      </c>
      <c r="E30" s="15" t="s">
        <v>120</v>
      </c>
      <c r="F30" s="16"/>
      <c r="G30" s="15"/>
      <c r="H30" s="17" t="str">
        <f aca="false">IF(F30="Implemented",1,IF(F30="Partially Implemented",0.5,IF(F30="Not Implemented",0,"")))</f>
        <v/>
      </c>
      <c r="I30" s="16"/>
      <c r="J30" s="16"/>
      <c r="K30" s="16"/>
      <c r="L30" s="16"/>
      <c r="M30" s="18" t="str">
        <f aca="false">IF(OR(F30="",F30="Implemented",F30="Not Applicable"),"",IF(AND(E30="High",F30="Not Implemented"),"P1",IF(OR(E30="High",AND(E30="Medium",F30="Not Implemented")),"P2","P3")))</f>
        <v/>
      </c>
      <c r="N30" s="19"/>
      <c r="O30" s="13" t="s">
        <v>213</v>
      </c>
      <c r="P30" s="13" t="s">
        <v>99</v>
      </c>
      <c r="Q30" s="13" t="s">
        <v>214</v>
      </c>
      <c r="R30" s="13" t="s">
        <v>117</v>
      </c>
    </row>
    <row r="31" customFormat="false" ht="23.85" hidden="false" customHeight="false" outlineLevel="0" collapsed="false">
      <c r="A31" s="12" t="s">
        <v>215</v>
      </c>
      <c r="B31" s="13" t="s">
        <v>197</v>
      </c>
      <c r="C31" s="13" t="s">
        <v>216</v>
      </c>
      <c r="D31" s="14" t="s">
        <v>99</v>
      </c>
      <c r="E31" s="15" t="s">
        <v>98</v>
      </c>
      <c r="F31" s="16"/>
      <c r="G31" s="15"/>
      <c r="H31" s="17" t="str">
        <f aca="false">IF(F31="Implemented",1,IF(F31="Partially Implemented",0.5,IF(F31="Not Implemented",0,"")))</f>
        <v/>
      </c>
      <c r="I31" s="16"/>
      <c r="J31" s="16"/>
      <c r="K31" s="16"/>
      <c r="L31" s="16"/>
      <c r="M31" s="18" t="str">
        <f aca="false">IF(OR(F31="",F31="Implemented",F31="Not Applicable"),"",IF(AND(E31="High",F31="Not Implemented"),"P1",IF(OR(E31="High",AND(E31="Medium",F31="Not Implemented")),"P2","P3")))</f>
        <v/>
      </c>
      <c r="N31" s="19"/>
      <c r="O31" s="13" t="s">
        <v>99</v>
      </c>
      <c r="P31" s="13" t="s">
        <v>99</v>
      </c>
      <c r="Q31" s="13" t="s">
        <v>217</v>
      </c>
      <c r="R31" s="13" t="s">
        <v>99</v>
      </c>
    </row>
    <row r="32" customFormat="false" ht="23.85" hidden="false" customHeight="false" outlineLevel="0" collapsed="false">
      <c r="A32" s="12" t="s">
        <v>218</v>
      </c>
      <c r="B32" s="13" t="s">
        <v>197</v>
      </c>
      <c r="C32" s="13" t="s">
        <v>219</v>
      </c>
      <c r="D32" s="14" t="n">
        <v>3</v>
      </c>
      <c r="E32" s="15" t="s">
        <v>120</v>
      </c>
      <c r="F32" s="16"/>
      <c r="G32" s="15"/>
      <c r="H32" s="17" t="str">
        <f aca="false">IF(F32="Implemented",1,IF(F32="Partially Implemented",0.5,IF(F32="Not Implemented",0,"")))</f>
        <v/>
      </c>
      <c r="I32" s="16"/>
      <c r="J32" s="16"/>
      <c r="K32" s="16"/>
      <c r="L32" s="16"/>
      <c r="M32" s="18" t="str">
        <f aca="false">IF(OR(F32="",F32="Implemented",F32="Not Applicable"),"",IF(AND(E32="High",F32="Not Implemented"),"P1",IF(OR(E32="High",AND(E32="Medium",F32="Not Implemented")),"P2","P3")))</f>
        <v/>
      </c>
      <c r="N32" s="19"/>
      <c r="O32" s="13" t="s">
        <v>99</v>
      </c>
      <c r="P32" s="13" t="s">
        <v>99</v>
      </c>
      <c r="Q32" s="13" t="s">
        <v>220</v>
      </c>
      <c r="R32" s="13" t="s">
        <v>117</v>
      </c>
    </row>
    <row r="33" customFormat="false" ht="23.85" hidden="false" customHeight="false" outlineLevel="0" collapsed="false">
      <c r="A33" s="12" t="s">
        <v>221</v>
      </c>
      <c r="B33" s="13" t="s">
        <v>197</v>
      </c>
      <c r="C33" s="13" t="s">
        <v>222</v>
      </c>
      <c r="D33" s="14" t="n">
        <v>8</v>
      </c>
      <c r="E33" s="15" t="s">
        <v>98</v>
      </c>
      <c r="F33" s="16"/>
      <c r="G33" s="15"/>
      <c r="H33" s="17" t="str">
        <f aca="false">IF(F33="Implemented",1,IF(F33="Partially Implemented",0.5,IF(F33="Not Implemented",0,"")))</f>
        <v/>
      </c>
      <c r="I33" s="16"/>
      <c r="J33" s="16"/>
      <c r="K33" s="16"/>
      <c r="L33" s="16"/>
      <c r="M33" s="18" t="str">
        <f aca="false">IF(OR(F33="",F33="Implemented",F33="Not Applicable"),"",IF(AND(E33="High",F33="Not Implemented"),"P1",IF(OR(E33="High",AND(E33="Medium",F33="Not Implemented")),"P2","P3")))</f>
        <v/>
      </c>
      <c r="N33" s="19"/>
      <c r="O33" s="13" t="s">
        <v>223</v>
      </c>
      <c r="P33" s="13" t="s">
        <v>99</v>
      </c>
      <c r="Q33" s="13" t="s">
        <v>224</v>
      </c>
      <c r="R33" s="13" t="s">
        <v>225</v>
      </c>
    </row>
    <row r="34" customFormat="false" ht="35.05" hidden="false" customHeight="false" outlineLevel="0" collapsed="false">
      <c r="A34" s="12" t="s">
        <v>226</v>
      </c>
      <c r="B34" s="13" t="s">
        <v>227</v>
      </c>
      <c r="C34" s="13" t="s">
        <v>228</v>
      </c>
      <c r="D34" s="14" t="n">
        <v>5</v>
      </c>
      <c r="E34" s="15" t="s">
        <v>98</v>
      </c>
      <c r="F34" s="16"/>
      <c r="G34" s="15"/>
      <c r="H34" s="17" t="str">
        <f aca="false">IF(F34="Implemented",1,IF(F34="Partially Implemented",0.5,IF(F34="Not Implemented",0,"")))</f>
        <v/>
      </c>
      <c r="I34" s="16"/>
      <c r="J34" s="16"/>
      <c r="K34" s="16"/>
      <c r="L34" s="16"/>
      <c r="M34" s="18" t="str">
        <f aca="false">IF(OR(F34="",F34="Implemented",F34="Not Applicable"),"",IF(AND(E34="High",F34="Not Implemented"),"P1",IF(OR(E34="High",AND(E34="Medium",F34="Not Implemented")),"P2","P3")))</f>
        <v/>
      </c>
      <c r="N34" s="19"/>
      <c r="O34" s="13" t="s">
        <v>99</v>
      </c>
      <c r="P34" s="13" t="s">
        <v>229</v>
      </c>
      <c r="Q34" s="13" t="s">
        <v>106</v>
      </c>
      <c r="R34" s="13" t="s">
        <v>145</v>
      </c>
    </row>
    <row r="35" customFormat="false" ht="35.05" hidden="false" customHeight="false" outlineLevel="0" collapsed="false">
      <c r="A35" s="12" t="s">
        <v>230</v>
      </c>
      <c r="B35" s="13" t="s">
        <v>227</v>
      </c>
      <c r="C35" s="13" t="s">
        <v>231</v>
      </c>
      <c r="D35" s="14" t="n">
        <v>5</v>
      </c>
      <c r="E35" s="15" t="s">
        <v>98</v>
      </c>
      <c r="F35" s="16"/>
      <c r="G35" s="15"/>
      <c r="H35" s="17" t="str">
        <f aca="false">IF(F35="Implemented",1,IF(F35="Partially Implemented",0.5,IF(F35="Not Implemented",0,"")))</f>
        <v/>
      </c>
      <c r="I35" s="16"/>
      <c r="J35" s="16"/>
      <c r="K35" s="16"/>
      <c r="L35" s="16"/>
      <c r="M35" s="18" t="str">
        <f aca="false">IF(OR(F35="",F35="Implemented",F35="Not Applicable"),"",IF(AND(E35="High",F35="Not Implemented"),"P1",IF(OR(E35="High",AND(E35="Medium",F35="Not Implemented")),"P2","P3")))</f>
        <v/>
      </c>
      <c r="N35" s="19"/>
      <c r="O35" s="13" t="s">
        <v>232</v>
      </c>
      <c r="P35" s="13" t="s">
        <v>99</v>
      </c>
      <c r="Q35" s="13" t="s">
        <v>233</v>
      </c>
      <c r="R35" s="13" t="s">
        <v>234</v>
      </c>
    </row>
    <row r="36" customFormat="false" ht="35.05" hidden="false" customHeight="false" outlineLevel="0" collapsed="false">
      <c r="A36" s="12" t="s">
        <v>235</v>
      </c>
      <c r="B36" s="13" t="s">
        <v>227</v>
      </c>
      <c r="C36" s="13" t="s">
        <v>236</v>
      </c>
      <c r="D36" s="14" t="n">
        <v>5</v>
      </c>
      <c r="E36" s="15" t="s">
        <v>120</v>
      </c>
      <c r="F36" s="16"/>
      <c r="G36" s="15"/>
      <c r="H36" s="17" t="str">
        <f aca="false">IF(F36="Implemented",1,IF(F36="Partially Implemented",0.5,IF(F36="Not Implemented",0,"")))</f>
        <v/>
      </c>
      <c r="I36" s="16"/>
      <c r="J36" s="16"/>
      <c r="K36" s="16"/>
      <c r="L36" s="16"/>
      <c r="M36" s="18" t="str">
        <f aca="false">IF(OR(F36="",F36="Implemented",F36="Not Applicable"),"",IF(AND(E36="High",F36="Not Implemented"),"P1",IF(OR(E36="High",AND(E36="Medium",F36="Not Implemented")),"P2","P3")))</f>
        <v/>
      </c>
      <c r="N36" s="19"/>
      <c r="O36" s="13" t="s">
        <v>99</v>
      </c>
      <c r="P36" s="13" t="s">
        <v>99</v>
      </c>
      <c r="Q36" s="13" t="s">
        <v>237</v>
      </c>
      <c r="R36" s="13" t="s">
        <v>99</v>
      </c>
    </row>
    <row r="37" customFormat="false" ht="35.05" hidden="false" customHeight="false" outlineLevel="0" collapsed="false">
      <c r="A37" s="12" t="s">
        <v>232</v>
      </c>
      <c r="B37" s="13" t="s">
        <v>227</v>
      </c>
      <c r="C37" s="13" t="s">
        <v>238</v>
      </c>
      <c r="D37" s="14" t="n">
        <v>6</v>
      </c>
      <c r="E37" s="15" t="s">
        <v>98</v>
      </c>
      <c r="F37" s="16"/>
      <c r="G37" s="15"/>
      <c r="H37" s="17" t="str">
        <f aca="false">IF(F37="Implemented",1,IF(F37="Partially Implemented",0.5,IF(F37="Not Implemented",0,"")))</f>
        <v/>
      </c>
      <c r="I37" s="16"/>
      <c r="J37" s="16"/>
      <c r="K37" s="16"/>
      <c r="L37" s="16"/>
      <c r="M37" s="18" t="str">
        <f aca="false">IF(OR(F37="",F37="Implemented",F37="Not Applicable"),"",IF(AND(E37="High",F37="Not Implemented"),"P1",IF(OR(E37="High",AND(E37="Medium",F37="Not Implemented")),"P2","P3")))</f>
        <v/>
      </c>
      <c r="N37" s="19"/>
      <c r="O37" s="13" t="s">
        <v>239</v>
      </c>
      <c r="P37" s="13" t="s">
        <v>99</v>
      </c>
      <c r="Q37" s="13" t="s">
        <v>240</v>
      </c>
      <c r="R37" s="13" t="s">
        <v>241</v>
      </c>
    </row>
    <row r="38" customFormat="false" ht="35.05" hidden="false" customHeight="false" outlineLevel="0" collapsed="false">
      <c r="A38" s="12" t="s">
        <v>242</v>
      </c>
      <c r="B38" s="13" t="s">
        <v>227</v>
      </c>
      <c r="C38" s="13" t="s">
        <v>243</v>
      </c>
      <c r="D38" s="14" t="n">
        <v>6</v>
      </c>
      <c r="E38" s="15" t="s">
        <v>120</v>
      </c>
      <c r="F38" s="16"/>
      <c r="G38" s="15"/>
      <c r="H38" s="17" t="str">
        <f aca="false">IF(F38="Implemented",1,IF(F38="Partially Implemented",0.5,IF(F38="Not Implemented",0,"")))</f>
        <v/>
      </c>
      <c r="I38" s="16"/>
      <c r="J38" s="16"/>
      <c r="K38" s="16"/>
      <c r="L38" s="16"/>
      <c r="M38" s="18" t="str">
        <f aca="false">IF(OR(F38="",F38="Implemented",F38="Not Applicable"),"",IF(AND(E38="High",F38="Not Implemented"),"P1",IF(OR(E38="High",AND(E38="Medium",F38="Not Implemented")),"P2","P3")))</f>
        <v/>
      </c>
      <c r="N38" s="19"/>
      <c r="O38" s="13" t="s">
        <v>179</v>
      </c>
      <c r="P38" s="13" t="s">
        <v>99</v>
      </c>
      <c r="Q38" s="13" t="s">
        <v>244</v>
      </c>
      <c r="R38" s="13" t="s">
        <v>174</v>
      </c>
    </row>
    <row r="39" customFormat="false" ht="35.05" hidden="false" customHeight="false" outlineLevel="0" collapsed="false">
      <c r="A39" s="12" t="s">
        <v>245</v>
      </c>
      <c r="B39" s="13" t="s">
        <v>227</v>
      </c>
      <c r="C39" s="13" t="s">
        <v>246</v>
      </c>
      <c r="D39" s="14" t="n">
        <v>5</v>
      </c>
      <c r="E39" s="15" t="s">
        <v>98</v>
      </c>
      <c r="F39" s="16"/>
      <c r="G39" s="15"/>
      <c r="H39" s="17" t="str">
        <f aca="false">IF(F39="Implemented",1,IF(F39="Partially Implemented",0.5,IF(F39="Not Implemented",0,"")))</f>
        <v/>
      </c>
      <c r="I39" s="16"/>
      <c r="J39" s="16"/>
      <c r="K39" s="16"/>
      <c r="L39" s="16"/>
      <c r="M39" s="18" t="str">
        <f aca="false">IF(OR(F39="",F39="Implemented",F39="Not Applicable"),"",IF(AND(E39="High",F39="Not Implemented"),"P1",IF(OR(E39="High",AND(E39="Medium",F39="Not Implemented")),"P2","P3")))</f>
        <v/>
      </c>
      <c r="N39" s="19"/>
      <c r="O39" s="13" t="s">
        <v>247</v>
      </c>
      <c r="P39" s="13" t="s">
        <v>99</v>
      </c>
      <c r="Q39" s="13" t="s">
        <v>237</v>
      </c>
      <c r="R39" s="13" t="s">
        <v>117</v>
      </c>
    </row>
    <row r="40" customFormat="false" ht="35.05" hidden="false" customHeight="false" outlineLevel="0" collapsed="false">
      <c r="A40" s="12" t="s">
        <v>248</v>
      </c>
      <c r="B40" s="13" t="s">
        <v>227</v>
      </c>
      <c r="C40" s="13" t="s">
        <v>249</v>
      </c>
      <c r="D40" s="14" t="n">
        <v>9</v>
      </c>
      <c r="E40" s="15" t="s">
        <v>98</v>
      </c>
      <c r="F40" s="16"/>
      <c r="G40" s="15"/>
      <c r="H40" s="17" t="str">
        <f aca="false">IF(F40="Implemented",1,IF(F40="Partially Implemented",0.5,IF(F40="Not Implemented",0,"")))</f>
        <v/>
      </c>
      <c r="I40" s="16"/>
      <c r="J40" s="16"/>
      <c r="K40" s="16"/>
      <c r="L40" s="16"/>
      <c r="M40" s="18" t="str">
        <f aca="false">IF(OR(F40="",F40="Implemented",F40="Not Applicable"),"",IF(AND(E40="High",F40="Not Implemented"),"P1",IF(OR(E40="High",AND(E40="Medium",F40="Not Implemented")),"P2","P3")))</f>
        <v/>
      </c>
      <c r="N40" s="19"/>
      <c r="O40" s="13" t="s">
        <v>250</v>
      </c>
      <c r="P40" s="13" t="s">
        <v>144</v>
      </c>
      <c r="Q40" s="13" t="s">
        <v>106</v>
      </c>
      <c r="R40" s="13" t="s">
        <v>145</v>
      </c>
    </row>
    <row r="41" customFormat="false" ht="23.85" hidden="false" customHeight="false" outlineLevel="0" collapsed="false">
      <c r="A41" s="12" t="s">
        <v>138</v>
      </c>
      <c r="B41" s="13" t="s">
        <v>251</v>
      </c>
      <c r="C41" s="13" t="s">
        <v>252</v>
      </c>
      <c r="D41" s="14" t="n">
        <v>7</v>
      </c>
      <c r="E41" s="15" t="s">
        <v>98</v>
      </c>
      <c r="F41" s="16"/>
      <c r="G41" s="15"/>
      <c r="H41" s="17" t="str">
        <f aca="false">IF(F41="Implemented",1,IF(F41="Partially Implemented",0.5,IF(F41="Not Implemented",0,"")))</f>
        <v/>
      </c>
      <c r="I41" s="16"/>
      <c r="J41" s="16"/>
      <c r="K41" s="16"/>
      <c r="L41" s="16"/>
      <c r="M41" s="18" t="str">
        <f aca="false">IF(OR(F41="",F41="Implemented",F41="Not Applicable"),"",IF(AND(E41="High",F41="Not Implemented"),"P1",IF(OR(E41="High",AND(E41="Medium",F41="Not Implemented")),"P2","P3")))</f>
        <v/>
      </c>
      <c r="N41" s="19"/>
      <c r="O41" s="13" t="s">
        <v>253</v>
      </c>
      <c r="P41" s="13" t="s">
        <v>99</v>
      </c>
      <c r="Q41" s="13" t="s">
        <v>254</v>
      </c>
      <c r="R41" s="13" t="s">
        <v>255</v>
      </c>
    </row>
    <row r="42" customFormat="false" ht="23.85" hidden="false" customHeight="false" outlineLevel="0" collapsed="false">
      <c r="A42" s="12" t="s">
        <v>256</v>
      </c>
      <c r="B42" s="13" t="s">
        <v>251</v>
      </c>
      <c r="C42" s="13" t="s">
        <v>257</v>
      </c>
      <c r="D42" s="14" t="n">
        <v>7</v>
      </c>
      <c r="E42" s="15" t="s">
        <v>98</v>
      </c>
      <c r="F42" s="16"/>
      <c r="G42" s="15"/>
      <c r="H42" s="17" t="str">
        <f aca="false">IF(F42="Implemented",1,IF(F42="Partially Implemented",0.5,IF(F42="Not Implemented",0,"")))</f>
        <v/>
      </c>
      <c r="I42" s="16"/>
      <c r="J42" s="16"/>
      <c r="K42" s="16"/>
      <c r="L42" s="16"/>
      <c r="M42" s="18" t="str">
        <f aca="false">IF(OR(F42="",F42="Implemented",F42="Not Applicable"),"",IF(AND(E42="High",F42="Not Implemented"),"P1",IF(OR(E42="High",AND(E42="Medium",F42="Not Implemented")),"P2","P3")))</f>
        <v/>
      </c>
      <c r="N42" s="19"/>
      <c r="O42" s="13" t="s">
        <v>99</v>
      </c>
      <c r="P42" s="13" t="s">
        <v>99</v>
      </c>
      <c r="Q42" s="13" t="s">
        <v>254</v>
      </c>
      <c r="R42" s="13" t="s">
        <v>258</v>
      </c>
    </row>
    <row r="43" customFormat="false" ht="23.85" hidden="false" customHeight="false" outlineLevel="0" collapsed="false">
      <c r="A43" s="12" t="s">
        <v>259</v>
      </c>
      <c r="B43" s="13" t="s">
        <v>251</v>
      </c>
      <c r="C43" s="13" t="s">
        <v>260</v>
      </c>
      <c r="D43" s="14" t="n">
        <v>7</v>
      </c>
      <c r="E43" s="15" t="s">
        <v>120</v>
      </c>
      <c r="F43" s="16"/>
      <c r="G43" s="15"/>
      <c r="H43" s="17" t="str">
        <f aca="false">IF(F43="Implemented",1,IF(F43="Partially Implemented",0.5,IF(F43="Not Implemented",0,"")))</f>
        <v/>
      </c>
      <c r="I43" s="16"/>
      <c r="J43" s="16"/>
      <c r="K43" s="16"/>
      <c r="L43" s="16"/>
      <c r="M43" s="18" t="str">
        <f aca="false">IF(OR(F43="",F43="Implemented",F43="Not Applicable"),"",IF(AND(E43="High",F43="Not Implemented"),"P1",IF(OR(E43="High",AND(E43="Medium",F43="Not Implemented")),"P2","P3")))</f>
        <v/>
      </c>
      <c r="N43" s="19"/>
      <c r="O43" s="13" t="s">
        <v>99</v>
      </c>
      <c r="P43" s="13" t="s">
        <v>99</v>
      </c>
      <c r="Q43" s="13" t="s">
        <v>254</v>
      </c>
      <c r="R43" s="13" t="s">
        <v>255</v>
      </c>
    </row>
    <row r="44" customFormat="false" ht="23.85" hidden="false" customHeight="false" outlineLevel="0" collapsed="false">
      <c r="A44" s="12" t="s">
        <v>261</v>
      </c>
      <c r="B44" s="13" t="s">
        <v>251</v>
      </c>
      <c r="C44" s="13" t="s">
        <v>262</v>
      </c>
      <c r="D44" s="14" t="n">
        <v>7</v>
      </c>
      <c r="E44" s="15" t="s">
        <v>98</v>
      </c>
      <c r="F44" s="16"/>
      <c r="G44" s="15"/>
      <c r="H44" s="17" t="str">
        <f aca="false">IF(F44="Implemented",1,IF(F44="Partially Implemented",0.5,IF(F44="Not Implemented",0,"")))</f>
        <v/>
      </c>
      <c r="I44" s="16"/>
      <c r="J44" s="16"/>
      <c r="K44" s="16"/>
      <c r="L44" s="16"/>
      <c r="M44" s="18" t="str">
        <f aca="false">IF(OR(F44="",F44="Implemented",F44="Not Applicable"),"",IF(AND(E44="High",F44="Not Implemented"),"P1",IF(OR(E44="High",AND(E44="Medium",F44="Not Implemented")),"P2","P3")))</f>
        <v/>
      </c>
      <c r="N44" s="19"/>
      <c r="O44" s="13" t="s">
        <v>239</v>
      </c>
      <c r="P44" s="13" t="s">
        <v>263</v>
      </c>
      <c r="Q44" s="13" t="s">
        <v>254</v>
      </c>
      <c r="R44" s="13" t="s">
        <v>107</v>
      </c>
    </row>
    <row r="45" customFormat="false" ht="23.85" hidden="false" customHeight="false" outlineLevel="0" collapsed="false">
      <c r="A45" s="12" t="s">
        <v>264</v>
      </c>
      <c r="B45" s="13" t="s">
        <v>251</v>
      </c>
      <c r="C45" s="13" t="s">
        <v>265</v>
      </c>
      <c r="D45" s="14" t="n">
        <v>7</v>
      </c>
      <c r="E45" s="15" t="s">
        <v>98</v>
      </c>
      <c r="F45" s="16"/>
      <c r="G45" s="15"/>
      <c r="H45" s="17" t="str">
        <f aca="false">IF(F45="Implemented",1,IF(F45="Partially Implemented",0.5,IF(F45="Not Implemented",0,"")))</f>
        <v/>
      </c>
      <c r="I45" s="16"/>
      <c r="J45" s="16"/>
      <c r="K45" s="16"/>
      <c r="L45" s="16"/>
      <c r="M45" s="18" t="str">
        <f aca="false">IF(OR(F45="",F45="Implemented",F45="Not Applicable"),"",IF(AND(E45="High",F45="Not Implemented"),"P1",IF(OR(E45="High",AND(E45="Medium",F45="Not Implemented")),"P2","P3")))</f>
        <v/>
      </c>
      <c r="N45" s="19"/>
      <c r="O45" s="13" t="s">
        <v>266</v>
      </c>
      <c r="P45" s="13" t="s">
        <v>99</v>
      </c>
      <c r="Q45" s="13" t="s">
        <v>267</v>
      </c>
      <c r="R45" s="13" t="s">
        <v>268</v>
      </c>
    </row>
    <row r="46" customFormat="false" ht="23.85" hidden="false" customHeight="false" outlineLevel="0" collapsed="false">
      <c r="A46" s="12" t="s">
        <v>269</v>
      </c>
      <c r="B46" s="13" t="s">
        <v>251</v>
      </c>
      <c r="C46" s="13" t="s">
        <v>270</v>
      </c>
      <c r="D46" s="14" t="n">
        <v>9</v>
      </c>
      <c r="E46" s="15" t="s">
        <v>98</v>
      </c>
      <c r="F46" s="16"/>
      <c r="G46" s="15"/>
      <c r="H46" s="17" t="str">
        <f aca="false">IF(F46="Implemented",1,IF(F46="Partially Implemented",0.5,IF(F46="Not Implemented",0,"")))</f>
        <v/>
      </c>
      <c r="I46" s="16"/>
      <c r="J46" s="16"/>
      <c r="K46" s="16"/>
      <c r="L46" s="16"/>
      <c r="M46" s="18" t="str">
        <f aca="false">IF(OR(F46="",F46="Implemented",F46="Not Applicable"),"",IF(AND(E46="High",F46="Not Implemented"),"P1",IF(OR(E46="High",AND(E46="Medium",F46="Not Implemented")),"P2","P3")))</f>
        <v/>
      </c>
      <c r="N46" s="19"/>
      <c r="O46" s="13" t="s">
        <v>271</v>
      </c>
      <c r="P46" s="13" t="s">
        <v>99</v>
      </c>
      <c r="Q46" s="13" t="s">
        <v>254</v>
      </c>
      <c r="R46" s="13" t="s">
        <v>107</v>
      </c>
    </row>
    <row r="47" customFormat="false" ht="23.85" hidden="false" customHeight="false" outlineLevel="0" collapsed="false">
      <c r="A47" s="12" t="s">
        <v>272</v>
      </c>
      <c r="B47" s="13" t="s">
        <v>251</v>
      </c>
      <c r="C47" s="13" t="s">
        <v>273</v>
      </c>
      <c r="D47" s="14" t="n">
        <v>7</v>
      </c>
      <c r="E47" s="15" t="s">
        <v>120</v>
      </c>
      <c r="F47" s="16"/>
      <c r="G47" s="15"/>
      <c r="H47" s="17" t="str">
        <f aca="false">IF(F47="Implemented",1,IF(F47="Partially Implemented",0.5,IF(F47="Not Implemented",0,"")))</f>
        <v/>
      </c>
      <c r="I47" s="16"/>
      <c r="J47" s="16"/>
      <c r="K47" s="16"/>
      <c r="L47" s="16"/>
      <c r="M47" s="18" t="str">
        <f aca="false">IF(OR(F47="",F47="Implemented",F47="Not Applicable"),"",IF(AND(E47="High",F47="Not Implemented"),"P1",IF(OR(E47="High",AND(E47="Medium",F47="Not Implemented")),"P2","P3")))</f>
        <v/>
      </c>
      <c r="N47" s="19"/>
      <c r="O47" s="13" t="s">
        <v>274</v>
      </c>
      <c r="P47" s="13" t="s">
        <v>275</v>
      </c>
      <c r="Q47" s="13" t="s">
        <v>254</v>
      </c>
      <c r="R47" s="13" t="s">
        <v>276</v>
      </c>
    </row>
    <row r="48" customFormat="false" ht="35.05" hidden="false" customHeight="false" outlineLevel="0" collapsed="false">
      <c r="A48" s="12" t="s">
        <v>277</v>
      </c>
      <c r="B48" s="13" t="s">
        <v>278</v>
      </c>
      <c r="C48" s="13" t="s">
        <v>279</v>
      </c>
      <c r="D48" s="14" t="s">
        <v>99</v>
      </c>
      <c r="E48" s="15" t="s">
        <v>98</v>
      </c>
      <c r="F48" s="16"/>
      <c r="G48" s="15"/>
      <c r="H48" s="17" t="str">
        <f aca="false">IF(F48="Implemented",1,IF(F48="Partially Implemented",0.5,IF(F48="Not Implemented",0,"")))</f>
        <v/>
      </c>
      <c r="I48" s="16"/>
      <c r="J48" s="16"/>
      <c r="K48" s="16"/>
      <c r="L48" s="16"/>
      <c r="M48" s="18" t="str">
        <f aca="false">IF(OR(F48="",F48="Implemented",F48="Not Applicable"),"",IF(AND(E48="High",F48="Not Implemented"),"P1",IF(OR(E48="High",AND(E48="Medium",F48="Not Implemented")),"P2","P3")))</f>
        <v/>
      </c>
      <c r="N48" s="19"/>
      <c r="O48" s="13" t="s">
        <v>202</v>
      </c>
      <c r="P48" s="13" t="s">
        <v>99</v>
      </c>
      <c r="Q48" s="13" t="s">
        <v>280</v>
      </c>
      <c r="R48" s="13" t="s">
        <v>281</v>
      </c>
    </row>
    <row r="49" customFormat="false" ht="35.05" hidden="false" customHeight="false" outlineLevel="0" collapsed="false">
      <c r="A49" s="12" t="s">
        <v>202</v>
      </c>
      <c r="B49" s="13" t="s">
        <v>278</v>
      </c>
      <c r="C49" s="13" t="s">
        <v>282</v>
      </c>
      <c r="D49" s="14" t="n">
        <v>4</v>
      </c>
      <c r="E49" s="15" t="s">
        <v>98</v>
      </c>
      <c r="F49" s="16"/>
      <c r="G49" s="15"/>
      <c r="H49" s="17" t="str">
        <f aca="false">IF(F49="Implemented",1,IF(F49="Partially Implemented",0.5,IF(F49="Not Implemented",0,"")))</f>
        <v/>
      </c>
      <c r="I49" s="16"/>
      <c r="J49" s="16"/>
      <c r="K49" s="16"/>
      <c r="L49" s="16"/>
      <c r="M49" s="18" t="str">
        <f aca="false">IF(OR(F49="",F49="Implemented",F49="Not Applicable"),"",IF(AND(E49="High",F49="Not Implemented"),"P1",IF(OR(E49="High",AND(E49="Medium",F49="Not Implemented")),"P2","P3")))</f>
        <v/>
      </c>
      <c r="N49" s="19"/>
      <c r="O49" s="13" t="s">
        <v>200</v>
      </c>
      <c r="P49" s="13" t="s">
        <v>99</v>
      </c>
      <c r="Q49" s="13" t="s">
        <v>283</v>
      </c>
      <c r="R49" s="13" t="s">
        <v>174</v>
      </c>
    </row>
    <row r="50" customFormat="false" ht="35.05" hidden="false" customHeight="false" outlineLevel="0" collapsed="false">
      <c r="A50" s="12" t="s">
        <v>171</v>
      </c>
      <c r="B50" s="13" t="s">
        <v>278</v>
      </c>
      <c r="C50" s="13" t="s">
        <v>284</v>
      </c>
      <c r="D50" s="14" t="s">
        <v>99</v>
      </c>
      <c r="E50" s="15" t="s">
        <v>98</v>
      </c>
      <c r="F50" s="16"/>
      <c r="G50" s="15"/>
      <c r="H50" s="17" t="str">
        <f aca="false">IF(F50="Implemented",1,IF(F50="Partially Implemented",0.5,IF(F50="Not Implemented",0,"")))</f>
        <v/>
      </c>
      <c r="I50" s="16"/>
      <c r="J50" s="16"/>
      <c r="K50" s="16"/>
      <c r="L50" s="16"/>
      <c r="M50" s="18" t="str">
        <f aca="false">IF(OR(F50="",F50="Implemented",F50="Not Applicable"),"",IF(AND(E50="High",F50="Not Implemented"),"P1",IF(OR(E50="High",AND(E50="Medium",F50="Not Implemented")),"P2","P3")))</f>
        <v/>
      </c>
      <c r="N50" s="19"/>
      <c r="O50" s="13" t="s">
        <v>169</v>
      </c>
      <c r="P50" s="13" t="s">
        <v>172</v>
      </c>
      <c r="Q50" s="13" t="s">
        <v>285</v>
      </c>
      <c r="R50" s="13" t="s">
        <v>174</v>
      </c>
    </row>
    <row r="51" customFormat="false" ht="35.05" hidden="false" customHeight="false" outlineLevel="0" collapsed="false">
      <c r="A51" s="12" t="s">
        <v>266</v>
      </c>
      <c r="B51" s="13" t="s">
        <v>278</v>
      </c>
      <c r="C51" s="13" t="s">
        <v>286</v>
      </c>
      <c r="D51" s="14" t="n">
        <v>11</v>
      </c>
      <c r="E51" s="15" t="s">
        <v>98</v>
      </c>
      <c r="F51" s="16"/>
      <c r="G51" s="15"/>
      <c r="H51" s="17" t="str">
        <f aca="false">IF(F51="Implemented",1,IF(F51="Partially Implemented",0.5,IF(F51="Not Implemented",0,"")))</f>
        <v/>
      </c>
      <c r="I51" s="16"/>
      <c r="J51" s="16"/>
      <c r="K51" s="16"/>
      <c r="L51" s="16"/>
      <c r="M51" s="18" t="str">
        <f aca="false">IF(OR(F51="",F51="Implemented",F51="Not Applicable"),"",IF(AND(E51="High",F51="Not Implemented"),"P1",IF(OR(E51="High",AND(E51="Medium",F51="Not Implemented")),"P2","P3")))</f>
        <v/>
      </c>
      <c r="N51" s="19"/>
      <c r="O51" s="13" t="s">
        <v>287</v>
      </c>
      <c r="P51" s="13" t="s">
        <v>99</v>
      </c>
      <c r="Q51" s="13" t="s">
        <v>288</v>
      </c>
      <c r="R51" s="13" t="s">
        <v>174</v>
      </c>
    </row>
    <row r="52" customFormat="false" ht="35.05" hidden="false" customHeight="false" outlineLevel="0" collapsed="false">
      <c r="A52" s="12" t="s">
        <v>289</v>
      </c>
      <c r="B52" s="13" t="s">
        <v>278</v>
      </c>
      <c r="C52" s="13" t="s">
        <v>290</v>
      </c>
      <c r="D52" s="14" t="n">
        <v>8</v>
      </c>
      <c r="E52" s="15" t="s">
        <v>98</v>
      </c>
      <c r="F52" s="16"/>
      <c r="G52" s="15"/>
      <c r="H52" s="17" t="str">
        <f aca="false">IF(F52="Implemented",1,IF(F52="Partially Implemented",0.5,IF(F52="Not Implemented",0,"")))</f>
        <v/>
      </c>
      <c r="I52" s="16"/>
      <c r="J52" s="16"/>
      <c r="K52" s="16"/>
      <c r="L52" s="16"/>
      <c r="M52" s="18" t="str">
        <f aca="false">IF(OR(F52="",F52="Implemented",F52="Not Applicable"),"",IF(AND(E52="High",F52="Not Implemented"),"P1",IF(OR(E52="High",AND(E52="Medium",F52="Not Implemented")),"P2","P3")))</f>
        <v/>
      </c>
      <c r="N52" s="19"/>
      <c r="O52" s="13" t="s">
        <v>291</v>
      </c>
      <c r="P52" s="13" t="s">
        <v>99</v>
      </c>
      <c r="Q52" s="13" t="s">
        <v>224</v>
      </c>
      <c r="R52" s="13" t="s">
        <v>225</v>
      </c>
    </row>
    <row r="53" customFormat="false" ht="35.05" hidden="false" customHeight="false" outlineLevel="0" collapsed="false">
      <c r="A53" s="12" t="s">
        <v>292</v>
      </c>
      <c r="B53" s="13" t="s">
        <v>278</v>
      </c>
      <c r="C53" s="13" t="s">
        <v>293</v>
      </c>
      <c r="D53" s="14" t="n">
        <v>8</v>
      </c>
      <c r="E53" s="15" t="s">
        <v>120</v>
      </c>
      <c r="F53" s="16"/>
      <c r="G53" s="15"/>
      <c r="H53" s="17" t="str">
        <f aca="false">IF(F53="Implemented",1,IF(F53="Partially Implemented",0.5,IF(F53="Not Implemented",0,"")))</f>
        <v/>
      </c>
      <c r="I53" s="16"/>
      <c r="J53" s="16"/>
      <c r="K53" s="16"/>
      <c r="L53" s="16"/>
      <c r="M53" s="18" t="str">
        <f aca="false">IF(OR(F53="",F53="Implemented",F53="Not Applicable"),"",IF(AND(E53="High",F53="Not Implemented"),"P1",IF(OR(E53="High",AND(E53="Medium",F53="Not Implemented")),"P2","P3")))</f>
        <v/>
      </c>
      <c r="N53" s="19"/>
      <c r="O53" s="13" t="s">
        <v>99</v>
      </c>
      <c r="P53" s="13" t="s">
        <v>99</v>
      </c>
      <c r="Q53" s="13" t="s">
        <v>294</v>
      </c>
      <c r="R53" s="13" t="s">
        <v>174</v>
      </c>
    </row>
    <row r="54" customFormat="false" ht="35.05" hidden="false" customHeight="false" outlineLevel="0" collapsed="false">
      <c r="A54" s="12" t="s">
        <v>223</v>
      </c>
      <c r="B54" s="13" t="s">
        <v>278</v>
      </c>
      <c r="C54" s="13" t="s">
        <v>295</v>
      </c>
      <c r="D54" s="14" t="n">
        <v>8</v>
      </c>
      <c r="E54" s="15" t="s">
        <v>98</v>
      </c>
      <c r="F54" s="16"/>
      <c r="G54" s="15"/>
      <c r="H54" s="17" t="str">
        <f aca="false">IF(F54="Implemented",1,IF(F54="Partially Implemented",0.5,IF(F54="Not Implemented",0,"")))</f>
        <v/>
      </c>
      <c r="I54" s="16"/>
      <c r="J54" s="16"/>
      <c r="K54" s="16"/>
      <c r="L54" s="16"/>
      <c r="M54" s="18" t="str">
        <f aca="false">IF(OR(F54="",F54="Implemented",F54="Not Applicable"),"",IF(AND(E54="High",F54="Not Implemented"),"P1",IF(OR(E54="High",AND(E54="Medium",F54="Not Implemented")),"P2","P3")))</f>
        <v/>
      </c>
      <c r="N54" s="19"/>
      <c r="O54" s="13" t="s">
        <v>221</v>
      </c>
      <c r="P54" s="13" t="s">
        <v>99</v>
      </c>
      <c r="Q54" s="13" t="s">
        <v>224</v>
      </c>
      <c r="R54" s="13" t="s">
        <v>225</v>
      </c>
    </row>
    <row r="55" customFormat="false" ht="35.05" hidden="false" customHeight="false" outlineLevel="0" collapsed="false">
      <c r="A55" s="12" t="s">
        <v>291</v>
      </c>
      <c r="B55" s="13" t="s">
        <v>278</v>
      </c>
      <c r="C55" s="13" t="s">
        <v>296</v>
      </c>
      <c r="D55" s="14" t="n">
        <v>8</v>
      </c>
      <c r="E55" s="15" t="s">
        <v>98</v>
      </c>
      <c r="F55" s="16"/>
      <c r="G55" s="15"/>
      <c r="H55" s="17" t="str">
        <f aca="false">IF(F55="Implemented",1,IF(F55="Partially Implemented",0.5,IF(F55="Not Implemented",0,"")))</f>
        <v/>
      </c>
      <c r="I55" s="16"/>
      <c r="J55" s="16"/>
      <c r="K55" s="16"/>
      <c r="L55" s="16"/>
      <c r="M55" s="18" t="str">
        <f aca="false">IF(OR(F55="",F55="Implemented",F55="Not Applicable"),"",IF(AND(E55="High",F55="Not Implemented"),"P1",IF(OR(E55="High",AND(E55="Medium",F55="Not Implemented")),"P2","P3")))</f>
        <v/>
      </c>
      <c r="N55" s="19"/>
      <c r="O55" s="13" t="s">
        <v>162</v>
      </c>
      <c r="P55" s="13" t="s">
        <v>99</v>
      </c>
      <c r="Q55" s="13" t="s">
        <v>297</v>
      </c>
      <c r="R55" s="13" t="s">
        <v>225</v>
      </c>
    </row>
    <row r="56" customFormat="false" ht="35.05" hidden="false" customHeight="false" outlineLevel="0" collapsed="false">
      <c r="A56" s="12" t="s">
        <v>274</v>
      </c>
      <c r="B56" s="13" t="s">
        <v>278</v>
      </c>
      <c r="C56" s="13" t="s">
        <v>298</v>
      </c>
      <c r="D56" s="14" t="n">
        <v>7</v>
      </c>
      <c r="E56" s="15" t="s">
        <v>120</v>
      </c>
      <c r="F56" s="16"/>
      <c r="G56" s="15"/>
      <c r="H56" s="17" t="str">
        <f aca="false">IF(F56="Implemented",1,IF(F56="Partially Implemented",0.5,IF(F56="Not Implemented",0,"")))</f>
        <v/>
      </c>
      <c r="I56" s="16"/>
      <c r="J56" s="16"/>
      <c r="K56" s="16"/>
      <c r="L56" s="16"/>
      <c r="M56" s="18" t="str">
        <f aca="false">IF(OR(F56="",F56="Implemented",F56="Not Applicable"),"",IF(AND(E56="High",F56="Not Implemented"),"P1",IF(OR(E56="High",AND(E56="Medium",F56="Not Implemented")),"P2","P3")))</f>
        <v/>
      </c>
      <c r="N56" s="19"/>
      <c r="O56" s="13" t="s">
        <v>272</v>
      </c>
      <c r="P56" s="13" t="s">
        <v>275</v>
      </c>
      <c r="Q56" s="13" t="s">
        <v>99</v>
      </c>
      <c r="R56" s="13" t="s">
        <v>299</v>
      </c>
    </row>
    <row r="57" customFormat="false" ht="23.85" hidden="false" customHeight="false" outlineLevel="0" collapsed="false">
      <c r="A57" s="12" t="s">
        <v>209</v>
      </c>
      <c r="B57" s="13" t="s">
        <v>300</v>
      </c>
      <c r="C57" s="13" t="s">
        <v>301</v>
      </c>
      <c r="D57" s="14" t="n">
        <v>9</v>
      </c>
      <c r="E57" s="15" t="s">
        <v>98</v>
      </c>
      <c r="F57" s="16"/>
      <c r="G57" s="15"/>
      <c r="H57" s="17" t="str">
        <f aca="false">IF(F57="Implemented",1,IF(F57="Partially Implemented",0.5,IF(F57="Not Implemented",0,"")))</f>
        <v/>
      </c>
      <c r="I57" s="16"/>
      <c r="J57" s="16"/>
      <c r="K57" s="16"/>
      <c r="L57" s="16"/>
      <c r="M57" s="18" t="str">
        <f aca="false">IF(OR(F57="",F57="Implemented",F57="Not Applicable"),"",IF(AND(E57="High",F57="Not Implemented"),"P1",IF(OR(E57="High",AND(E57="Medium",F57="Not Implemented")),"P2","P3")))</f>
        <v/>
      </c>
      <c r="N57" s="19"/>
      <c r="O57" s="13" t="s">
        <v>271</v>
      </c>
      <c r="P57" s="13" t="s">
        <v>99</v>
      </c>
      <c r="Q57" s="13" t="s">
        <v>254</v>
      </c>
      <c r="R57" s="13" t="s">
        <v>117</v>
      </c>
    </row>
    <row r="58" customFormat="false" ht="23.85" hidden="false" customHeight="false" outlineLevel="0" collapsed="false">
      <c r="A58" s="12" t="s">
        <v>302</v>
      </c>
      <c r="B58" s="13" t="s">
        <v>300</v>
      </c>
      <c r="C58" s="13" t="s">
        <v>303</v>
      </c>
      <c r="D58" s="14" t="n">
        <v>9</v>
      </c>
      <c r="E58" s="15" t="s">
        <v>98</v>
      </c>
      <c r="F58" s="16"/>
      <c r="G58" s="15"/>
      <c r="H58" s="17" t="str">
        <f aca="false">IF(F58="Implemented",1,IF(F58="Partially Implemented",0.5,IF(F58="Not Implemented",0,"")))</f>
        <v/>
      </c>
      <c r="I58" s="16"/>
      <c r="J58" s="16"/>
      <c r="K58" s="16"/>
      <c r="L58" s="16"/>
      <c r="M58" s="18" t="str">
        <f aca="false">IF(OR(F58="",F58="Implemented",F58="Not Applicable"),"",IF(AND(E58="High",F58="Not Implemented"),"P1",IF(OR(E58="High",AND(E58="Medium",F58="Not Implemented")),"P2","P3")))</f>
        <v/>
      </c>
      <c r="N58" s="19"/>
      <c r="O58" s="13" t="s">
        <v>304</v>
      </c>
      <c r="P58" s="13" t="s">
        <v>99</v>
      </c>
      <c r="Q58" s="13" t="s">
        <v>305</v>
      </c>
      <c r="R58" s="13" t="s">
        <v>306</v>
      </c>
    </row>
    <row r="59" customFormat="false" ht="23.85" hidden="false" customHeight="false" outlineLevel="0" collapsed="false">
      <c r="A59" s="12" t="s">
        <v>239</v>
      </c>
      <c r="B59" s="13" t="s">
        <v>300</v>
      </c>
      <c r="C59" s="13" t="s">
        <v>307</v>
      </c>
      <c r="D59" s="14" t="n">
        <v>6</v>
      </c>
      <c r="E59" s="15" t="s">
        <v>98</v>
      </c>
      <c r="F59" s="16"/>
      <c r="G59" s="15"/>
      <c r="H59" s="17" t="str">
        <f aca="false">IF(F59="Implemented",1,IF(F59="Partially Implemented",0.5,IF(F59="Not Implemented",0,"")))</f>
        <v/>
      </c>
      <c r="I59" s="16"/>
      <c r="J59" s="16"/>
      <c r="K59" s="16"/>
      <c r="L59" s="16"/>
      <c r="M59" s="18" t="str">
        <f aca="false">IF(OR(F59="",F59="Implemented",F59="Not Applicable"),"",IF(AND(E59="High",F59="Not Implemented"),"P1",IF(OR(E59="High",AND(E59="Medium",F59="Not Implemented")),"P2","P3")))</f>
        <v/>
      </c>
      <c r="N59" s="19"/>
      <c r="O59" s="13" t="s">
        <v>232</v>
      </c>
      <c r="P59" s="13" t="s">
        <v>99</v>
      </c>
      <c r="Q59" s="13" t="s">
        <v>308</v>
      </c>
      <c r="R59" s="13" t="s">
        <v>117</v>
      </c>
    </row>
    <row r="60" customFormat="false" ht="23.85" hidden="false" customHeight="false" outlineLevel="0" collapsed="false">
      <c r="A60" s="12" t="s">
        <v>309</v>
      </c>
      <c r="B60" s="13" t="s">
        <v>300</v>
      </c>
      <c r="C60" s="13" t="s">
        <v>310</v>
      </c>
      <c r="D60" s="14" t="n">
        <v>9</v>
      </c>
      <c r="E60" s="15" t="s">
        <v>98</v>
      </c>
      <c r="F60" s="16"/>
      <c r="G60" s="15"/>
      <c r="H60" s="17" t="str">
        <f aca="false">IF(F60="Implemented",1,IF(F60="Partially Implemented",0.5,IF(F60="Not Implemented",0,"")))</f>
        <v/>
      </c>
      <c r="I60" s="16"/>
      <c r="J60" s="16"/>
      <c r="K60" s="16"/>
      <c r="L60" s="16"/>
      <c r="M60" s="18" t="str">
        <f aca="false">IF(OR(F60="",F60="Implemented",F60="Not Applicable"),"",IF(AND(E60="High",F60="Not Implemented"),"P1",IF(OR(E60="High",AND(E60="Medium",F60="Not Implemented")),"P2","P3")))</f>
        <v/>
      </c>
      <c r="N60" s="19"/>
      <c r="O60" s="13" t="s">
        <v>230</v>
      </c>
      <c r="P60" s="13" t="s">
        <v>99</v>
      </c>
      <c r="Q60" s="13" t="s">
        <v>106</v>
      </c>
      <c r="R60" s="13" t="s">
        <v>117</v>
      </c>
    </row>
    <row r="61" customFormat="false" ht="23.85" hidden="false" customHeight="false" outlineLevel="0" collapsed="false">
      <c r="A61" s="12" t="s">
        <v>247</v>
      </c>
      <c r="B61" s="13" t="s">
        <v>300</v>
      </c>
      <c r="C61" s="13" t="s">
        <v>311</v>
      </c>
      <c r="D61" s="14" t="n">
        <v>6</v>
      </c>
      <c r="E61" s="15" t="s">
        <v>98</v>
      </c>
      <c r="F61" s="16"/>
      <c r="G61" s="15"/>
      <c r="H61" s="17" t="str">
        <f aca="false">IF(F61="Implemented",1,IF(F61="Partially Implemented",0.5,IF(F61="Not Implemented",0,"")))</f>
        <v/>
      </c>
      <c r="I61" s="16"/>
      <c r="J61" s="16"/>
      <c r="K61" s="16"/>
      <c r="L61" s="16"/>
      <c r="M61" s="18" t="str">
        <f aca="false">IF(OR(F61="",F61="Implemented",F61="Not Applicable"),"",IF(AND(E61="High",F61="Not Implemented"),"P1",IF(OR(E61="High",AND(E61="Medium",F61="Not Implemented")),"P2","P3")))</f>
        <v/>
      </c>
      <c r="N61" s="19"/>
      <c r="O61" s="13" t="s">
        <v>245</v>
      </c>
      <c r="P61" s="13" t="s">
        <v>99</v>
      </c>
      <c r="Q61" s="13" t="s">
        <v>312</v>
      </c>
      <c r="R61" s="13" t="s">
        <v>117</v>
      </c>
    </row>
    <row r="62" customFormat="false" ht="23.85" hidden="false" customHeight="false" outlineLevel="0" collapsed="false">
      <c r="A62" s="12" t="s">
        <v>253</v>
      </c>
      <c r="B62" s="13" t="s">
        <v>300</v>
      </c>
      <c r="C62" s="13" t="s">
        <v>313</v>
      </c>
      <c r="D62" s="14" t="n">
        <v>7</v>
      </c>
      <c r="E62" s="15" t="s">
        <v>98</v>
      </c>
      <c r="F62" s="16"/>
      <c r="G62" s="15"/>
      <c r="H62" s="17" t="str">
        <f aca="false">IF(F62="Implemented",1,IF(F62="Partially Implemented",0.5,IF(F62="Not Implemented",0,"")))</f>
        <v/>
      </c>
      <c r="I62" s="16"/>
      <c r="J62" s="16"/>
      <c r="K62" s="16"/>
      <c r="L62" s="16"/>
      <c r="M62" s="18" t="str">
        <f aca="false">IF(OR(F62="",F62="Implemented",F62="Not Applicable"),"",IF(AND(E62="High",F62="Not Implemented"),"P1",IF(OR(E62="High",AND(E62="Medium",F62="Not Implemented")),"P2","P3")))</f>
        <v/>
      </c>
      <c r="N62" s="19"/>
      <c r="O62" s="13" t="s">
        <v>138</v>
      </c>
      <c r="P62" s="13" t="s">
        <v>99</v>
      </c>
      <c r="Q62" s="13" t="s">
        <v>254</v>
      </c>
      <c r="R62" s="13" t="s">
        <v>234</v>
      </c>
    </row>
    <row r="63" customFormat="false" ht="23.85" hidden="false" customHeight="false" outlineLevel="0" collapsed="false">
      <c r="A63" s="12" t="s">
        <v>271</v>
      </c>
      <c r="B63" s="13" t="s">
        <v>314</v>
      </c>
      <c r="C63" s="13" t="s">
        <v>315</v>
      </c>
      <c r="D63" s="14" t="n">
        <v>9</v>
      </c>
      <c r="E63" s="15" t="s">
        <v>98</v>
      </c>
      <c r="F63" s="16"/>
      <c r="G63" s="15"/>
      <c r="H63" s="17" t="str">
        <f aca="false">IF(F63="Implemented",1,IF(F63="Partially Implemented",0.5,IF(F63="Not Implemented",0,"")))</f>
        <v/>
      </c>
      <c r="I63" s="16"/>
      <c r="J63" s="16"/>
      <c r="K63" s="16"/>
      <c r="L63" s="16"/>
      <c r="M63" s="18" t="str">
        <f aca="false">IF(OR(F63="",F63="Implemented",F63="Not Applicable"),"",IF(AND(E63="High",F63="Not Implemented"),"P1",IF(OR(E63="High",AND(E63="Medium",F63="Not Implemented")),"P2","P3")))</f>
        <v/>
      </c>
      <c r="N63" s="19"/>
      <c r="O63" s="13" t="s">
        <v>209</v>
      </c>
      <c r="P63" s="13" t="s">
        <v>99</v>
      </c>
      <c r="Q63" s="13" t="s">
        <v>316</v>
      </c>
      <c r="R63" s="13" t="s">
        <v>145</v>
      </c>
    </row>
    <row r="64" customFormat="false" ht="23.85" hidden="false" customHeight="false" outlineLevel="0" collapsed="false">
      <c r="A64" s="12" t="s">
        <v>317</v>
      </c>
      <c r="B64" s="13" t="s">
        <v>314</v>
      </c>
      <c r="C64" s="13" t="s">
        <v>318</v>
      </c>
      <c r="D64" s="14" t="n">
        <v>9</v>
      </c>
      <c r="E64" s="15" t="s">
        <v>98</v>
      </c>
      <c r="F64" s="16"/>
      <c r="G64" s="15"/>
      <c r="H64" s="17" t="str">
        <f aca="false">IF(F64="Implemented",1,IF(F64="Partially Implemented",0.5,IF(F64="Not Implemented",0,"")))</f>
        <v/>
      </c>
      <c r="I64" s="16"/>
      <c r="J64" s="16"/>
      <c r="K64" s="16"/>
      <c r="L64" s="16"/>
      <c r="M64" s="18" t="str">
        <f aca="false">IF(OR(F64="",F64="Implemented",F64="Not Applicable"),"",IF(AND(E64="High",F64="Not Implemented"),"P1",IF(OR(E64="High",AND(E64="Medium",F64="Not Implemented")),"P2","P3")))</f>
        <v/>
      </c>
      <c r="N64" s="19"/>
      <c r="O64" s="13" t="s">
        <v>99</v>
      </c>
      <c r="P64" s="13" t="s">
        <v>99</v>
      </c>
      <c r="Q64" s="13" t="s">
        <v>254</v>
      </c>
      <c r="R64" s="13" t="s">
        <v>117</v>
      </c>
    </row>
    <row r="65" customFormat="false" ht="23.85" hidden="false" customHeight="false" outlineLevel="0" collapsed="false">
      <c r="A65" s="12" t="s">
        <v>319</v>
      </c>
      <c r="B65" s="13" t="s">
        <v>314</v>
      </c>
      <c r="C65" s="13" t="s">
        <v>320</v>
      </c>
      <c r="D65" s="14" t="n">
        <v>10</v>
      </c>
      <c r="E65" s="15" t="s">
        <v>98</v>
      </c>
      <c r="F65" s="16"/>
      <c r="G65" s="15"/>
      <c r="H65" s="17" t="str">
        <f aca="false">IF(F65="Implemented",1,IF(F65="Partially Implemented",0.5,IF(F65="Not Implemented",0,"")))</f>
        <v/>
      </c>
      <c r="I65" s="16"/>
      <c r="J65" s="16"/>
      <c r="K65" s="16"/>
      <c r="L65" s="16"/>
      <c r="M65" s="18" t="str">
        <f aca="false">IF(OR(F65="",F65="Implemented",F65="Not Applicable"),"",IF(AND(E65="High",F65="Not Implemented"),"P1",IF(OR(E65="High",AND(E65="Medium",F65="Not Implemented")),"P2","P3")))</f>
        <v/>
      </c>
      <c r="N65" s="19"/>
      <c r="O65" s="13" t="s">
        <v>99</v>
      </c>
      <c r="P65" s="13" t="s">
        <v>321</v>
      </c>
      <c r="Q65" s="13" t="s">
        <v>99</v>
      </c>
      <c r="R65" s="13" t="s">
        <v>117</v>
      </c>
    </row>
    <row r="66" customFormat="false" ht="23.85" hidden="false" customHeight="false" outlineLevel="0" collapsed="false">
      <c r="A66" s="12" t="s">
        <v>213</v>
      </c>
      <c r="B66" s="13" t="s">
        <v>314</v>
      </c>
      <c r="C66" s="13" t="s">
        <v>322</v>
      </c>
      <c r="D66" s="14" t="n">
        <v>10</v>
      </c>
      <c r="E66" s="15" t="s">
        <v>120</v>
      </c>
      <c r="F66" s="16"/>
      <c r="G66" s="15"/>
      <c r="H66" s="17" t="str">
        <f aca="false">IF(F66="Implemented",1,IF(F66="Partially Implemented",0.5,IF(F66="Not Implemented",0,"")))</f>
        <v/>
      </c>
      <c r="I66" s="16"/>
      <c r="J66" s="16"/>
      <c r="K66" s="16"/>
      <c r="L66" s="16"/>
      <c r="M66" s="18" t="str">
        <f aca="false">IF(OR(F66="",F66="Implemented",F66="Not Applicable"),"",IF(AND(E66="High",F66="Not Implemented"),"P1",IF(OR(E66="High",AND(E66="Medium",F66="Not Implemented")),"P2","P3")))</f>
        <v/>
      </c>
      <c r="N66" s="19"/>
      <c r="O66" s="13" t="s">
        <v>211</v>
      </c>
      <c r="P66" s="13" t="s">
        <v>99</v>
      </c>
      <c r="Q66" s="13" t="s">
        <v>323</v>
      </c>
      <c r="R66" s="13" t="s">
        <v>117</v>
      </c>
    </row>
    <row r="67" customFormat="false" ht="23.85" hidden="false" customHeight="false" outlineLevel="0" collapsed="false">
      <c r="A67" s="12" t="s">
        <v>324</v>
      </c>
      <c r="B67" s="13" t="s">
        <v>314</v>
      </c>
      <c r="C67" s="13" t="s">
        <v>325</v>
      </c>
      <c r="D67" s="14" t="n">
        <v>10</v>
      </c>
      <c r="E67" s="15" t="s">
        <v>120</v>
      </c>
      <c r="F67" s="16"/>
      <c r="G67" s="15"/>
      <c r="H67" s="17" t="str">
        <f aca="false">IF(F67="Implemented",1,IF(F67="Partially Implemented",0.5,IF(F67="Not Implemented",0,"")))</f>
        <v/>
      </c>
      <c r="I67" s="16"/>
      <c r="J67" s="16"/>
      <c r="K67" s="16"/>
      <c r="L67" s="16"/>
      <c r="M67" s="18" t="str">
        <f aca="false">IF(OR(F67="",F67="Implemented",F67="Not Applicable"),"",IF(AND(E67="High",F67="Not Implemented"),"P1",IF(OR(E67="High",AND(E67="Medium",F67="Not Implemented")),"P2","P3")))</f>
        <v/>
      </c>
      <c r="N67" s="19"/>
      <c r="O67" s="13" t="s">
        <v>99</v>
      </c>
      <c r="P67" s="13" t="s">
        <v>326</v>
      </c>
      <c r="Q67" s="13" t="s">
        <v>99</v>
      </c>
      <c r="R67" s="13" t="s">
        <v>327</v>
      </c>
    </row>
    <row r="68" customFormat="false" ht="23.85" hidden="false" customHeight="false" outlineLevel="0" collapsed="false">
      <c r="A68" s="12" t="s">
        <v>328</v>
      </c>
      <c r="B68" s="13" t="s">
        <v>314</v>
      </c>
      <c r="C68" s="13" t="s">
        <v>329</v>
      </c>
      <c r="D68" s="14" t="n">
        <v>15</v>
      </c>
      <c r="E68" s="15" t="s">
        <v>120</v>
      </c>
      <c r="F68" s="16"/>
      <c r="G68" s="15"/>
      <c r="H68" s="17" t="str">
        <f aca="false">IF(F68="Implemented",1,IF(F68="Partially Implemented",0.5,IF(F68="Not Implemented",0,"")))</f>
        <v/>
      </c>
      <c r="I68" s="16"/>
      <c r="J68" s="16"/>
      <c r="K68" s="16"/>
      <c r="L68" s="16"/>
      <c r="M68" s="18" t="str">
        <f aca="false">IF(OR(F68="",F68="Implemented",F68="Not Applicable"),"",IF(AND(E68="High",F68="Not Implemented"),"P1",IF(OR(E68="High",AND(E68="Medium",F68="Not Implemented")),"P2","P3")))</f>
        <v/>
      </c>
      <c r="N68" s="19"/>
      <c r="O68" s="13" t="s">
        <v>330</v>
      </c>
      <c r="P68" s="13" t="s">
        <v>263</v>
      </c>
      <c r="Q68" s="13" t="s">
        <v>99</v>
      </c>
      <c r="R68" s="13" t="s">
        <v>117</v>
      </c>
    </row>
    <row r="69" customFormat="false" ht="35.05" hidden="false" customHeight="false" outlineLevel="0" collapsed="false">
      <c r="A69" s="12" t="s">
        <v>287</v>
      </c>
      <c r="B69" s="13" t="s">
        <v>331</v>
      </c>
      <c r="C69" s="13" t="s">
        <v>332</v>
      </c>
      <c r="D69" s="14" t="n">
        <v>11</v>
      </c>
      <c r="E69" s="15" t="s">
        <v>98</v>
      </c>
      <c r="F69" s="16"/>
      <c r="G69" s="15"/>
      <c r="H69" s="17" t="str">
        <f aca="false">IF(F69="Implemented",1,IF(F69="Partially Implemented",0.5,IF(F69="Not Implemented",0,"")))</f>
        <v/>
      </c>
      <c r="I69" s="16"/>
      <c r="J69" s="16"/>
      <c r="K69" s="16"/>
      <c r="L69" s="16"/>
      <c r="M69" s="18" t="str">
        <f aca="false">IF(OR(F69="",F69="Implemented",F69="Not Applicable"),"",IF(AND(E69="High",F69="Not Implemented"),"P1",IF(OR(E69="High",AND(E69="Medium",F69="Not Implemented")),"P2","P3")))</f>
        <v/>
      </c>
      <c r="N69" s="19"/>
      <c r="O69" s="13" t="s">
        <v>266</v>
      </c>
      <c r="P69" s="13" t="s">
        <v>333</v>
      </c>
      <c r="Q69" s="13" t="s">
        <v>334</v>
      </c>
      <c r="R69" s="13" t="s">
        <v>99</v>
      </c>
    </row>
    <row r="70" customFormat="false" ht="23.85" hidden="false" customHeight="false" outlineLevel="0" collapsed="false">
      <c r="A70" s="12" t="s">
        <v>335</v>
      </c>
      <c r="B70" s="13" t="s">
        <v>331</v>
      </c>
      <c r="C70" s="13" t="s">
        <v>336</v>
      </c>
      <c r="D70" s="14" t="n">
        <v>11</v>
      </c>
      <c r="E70" s="15" t="s">
        <v>98</v>
      </c>
      <c r="F70" s="16"/>
      <c r="G70" s="15"/>
      <c r="H70" s="17" t="str">
        <f aca="false">IF(F70="Implemented",1,IF(F70="Partially Implemented",0.5,IF(F70="Not Implemented",0,"")))</f>
        <v/>
      </c>
      <c r="I70" s="16"/>
      <c r="J70" s="16"/>
      <c r="K70" s="16"/>
      <c r="L70" s="16"/>
      <c r="M70" s="18" t="str">
        <f aca="false">IF(OR(F70="",F70="Implemented",F70="Not Applicable"),"",IF(AND(E70="High",F70="Not Implemented"),"P1",IF(OR(E70="High",AND(E70="Medium",F70="Not Implemented")),"P2","P3")))</f>
        <v/>
      </c>
      <c r="N70" s="19"/>
      <c r="O70" s="13" t="s">
        <v>99</v>
      </c>
      <c r="P70" s="13" t="s">
        <v>333</v>
      </c>
      <c r="Q70" s="13" t="s">
        <v>334</v>
      </c>
      <c r="R70" s="13" t="s">
        <v>99</v>
      </c>
    </row>
    <row r="71" customFormat="false" ht="35.05" hidden="false" customHeight="false" outlineLevel="0" collapsed="false">
      <c r="A71" s="12" t="s">
        <v>179</v>
      </c>
      <c r="B71" s="13" t="s">
        <v>331</v>
      </c>
      <c r="C71" s="13" t="s">
        <v>337</v>
      </c>
      <c r="D71" s="14" t="n">
        <v>11</v>
      </c>
      <c r="E71" s="15" t="s">
        <v>98</v>
      </c>
      <c r="F71" s="16"/>
      <c r="G71" s="15"/>
      <c r="H71" s="17" t="str">
        <f aca="false">IF(F71="Implemented",1,IF(F71="Partially Implemented",0.5,IF(F71="Not Implemented",0,"")))</f>
        <v/>
      </c>
      <c r="I71" s="16"/>
      <c r="J71" s="16"/>
      <c r="K71" s="16"/>
      <c r="L71" s="16"/>
      <c r="M71" s="18" t="str">
        <f aca="false">IF(OR(F71="",F71="Implemented",F71="Not Applicable"),"",IF(AND(E71="High",F71="Not Implemented"),"P1",IF(OR(E71="High",AND(E71="Medium",F71="Not Implemented")),"P2","P3")))</f>
        <v/>
      </c>
      <c r="N71" s="19"/>
      <c r="O71" s="13" t="s">
        <v>177</v>
      </c>
      <c r="P71" s="13" t="s">
        <v>180</v>
      </c>
      <c r="Q71" s="13" t="s">
        <v>181</v>
      </c>
      <c r="R71" s="13" t="s">
        <v>338</v>
      </c>
    </row>
    <row r="72" customFormat="false" ht="35.05" hidden="false" customHeight="false" outlineLevel="0" collapsed="false">
      <c r="A72" s="12" t="s">
        <v>339</v>
      </c>
      <c r="B72" s="13" t="s">
        <v>331</v>
      </c>
      <c r="C72" s="13" t="s">
        <v>340</v>
      </c>
      <c r="D72" s="14" t="s">
        <v>99</v>
      </c>
      <c r="E72" s="15" t="s">
        <v>98</v>
      </c>
      <c r="F72" s="16"/>
      <c r="G72" s="15"/>
      <c r="H72" s="17" t="str">
        <f aca="false">IF(F72="Implemented",1,IF(F72="Partially Implemented",0.5,IF(F72="Not Implemented",0,"")))</f>
        <v/>
      </c>
      <c r="I72" s="16"/>
      <c r="J72" s="16"/>
      <c r="K72" s="16"/>
      <c r="L72" s="16"/>
      <c r="M72" s="18" t="str">
        <f aca="false">IF(OR(F72="",F72="Implemented",F72="Not Applicable"),"",IF(AND(E72="High",F72="Not Implemented"),"P1",IF(OR(E72="High",AND(E72="Medium",F72="Not Implemented")),"P2","P3")))</f>
        <v/>
      </c>
      <c r="N72" s="19"/>
      <c r="O72" s="13" t="s">
        <v>193</v>
      </c>
      <c r="P72" s="13" t="s">
        <v>341</v>
      </c>
      <c r="Q72" s="13" t="s">
        <v>342</v>
      </c>
      <c r="R72" s="13" t="s">
        <v>99</v>
      </c>
    </row>
    <row r="73" customFormat="false" ht="23.85" hidden="false" customHeight="false" outlineLevel="0" collapsed="false">
      <c r="A73" s="12" t="s">
        <v>343</v>
      </c>
      <c r="B73" s="13" t="s">
        <v>331</v>
      </c>
      <c r="C73" s="13" t="s">
        <v>344</v>
      </c>
      <c r="D73" s="14" t="n">
        <v>15</v>
      </c>
      <c r="E73" s="15" t="s">
        <v>98</v>
      </c>
      <c r="F73" s="16"/>
      <c r="G73" s="15"/>
      <c r="H73" s="17" t="str">
        <f aca="false">IF(F73="Implemented",1,IF(F73="Partially Implemented",0.5,IF(F73="Not Implemented",0,"")))</f>
        <v/>
      </c>
      <c r="I73" s="16"/>
      <c r="J73" s="16"/>
      <c r="K73" s="16"/>
      <c r="L73" s="16"/>
      <c r="M73" s="18" t="str">
        <f aca="false">IF(OR(F73="",F73="Implemented",F73="Not Applicable"),"",IF(AND(E73="High",F73="Not Implemented"),"P1",IF(OR(E73="High",AND(E73="Medium",F73="Not Implemented")),"P2","P3")))</f>
        <v/>
      </c>
      <c r="N73" s="19"/>
      <c r="O73" s="13" t="s">
        <v>345</v>
      </c>
      <c r="P73" s="13" t="s">
        <v>99</v>
      </c>
      <c r="Q73" s="13" t="s">
        <v>342</v>
      </c>
      <c r="R73" s="13" t="s">
        <v>99</v>
      </c>
    </row>
    <row r="74" customFormat="false" ht="23.85" hidden="false" customHeight="false" outlineLevel="0" collapsed="false">
      <c r="A74" s="12" t="s">
        <v>346</v>
      </c>
      <c r="B74" s="13" t="s">
        <v>347</v>
      </c>
      <c r="C74" s="13" t="s">
        <v>348</v>
      </c>
      <c r="D74" s="14" t="n">
        <v>12</v>
      </c>
      <c r="E74" s="15" t="s">
        <v>98</v>
      </c>
      <c r="F74" s="16"/>
      <c r="G74" s="15"/>
      <c r="H74" s="17" t="str">
        <f aca="false">IF(F74="Implemented",1,IF(F74="Partially Implemented",0.5,IF(F74="Not Implemented",0,"")))</f>
        <v/>
      </c>
      <c r="I74" s="16"/>
      <c r="J74" s="16"/>
      <c r="K74" s="16"/>
      <c r="L74" s="16"/>
      <c r="M74" s="18" t="str">
        <f aca="false">IF(OR(F74="",F74="Implemented",F74="Not Applicable"),"",IF(AND(E74="High",F74="Not Implemented"),"P1",IF(OR(E74="High",AND(E74="Medium",F74="Not Implemented")),"P2","P3")))</f>
        <v/>
      </c>
      <c r="N74" s="19"/>
      <c r="O74" s="13" t="s">
        <v>99</v>
      </c>
      <c r="P74" s="13" t="s">
        <v>99</v>
      </c>
      <c r="Q74" s="13" t="s">
        <v>349</v>
      </c>
      <c r="R74" s="13" t="s">
        <v>161</v>
      </c>
    </row>
    <row r="75" customFormat="false" ht="23.85" hidden="false" customHeight="false" outlineLevel="0" collapsed="false">
      <c r="A75" s="12" t="s">
        <v>158</v>
      </c>
      <c r="B75" s="13" t="s">
        <v>347</v>
      </c>
      <c r="C75" s="13" t="s">
        <v>350</v>
      </c>
      <c r="D75" s="14" t="n">
        <v>12</v>
      </c>
      <c r="E75" s="15" t="s">
        <v>120</v>
      </c>
      <c r="F75" s="16"/>
      <c r="G75" s="15"/>
      <c r="H75" s="17" t="str">
        <f aca="false">IF(F75="Implemented",1,IF(F75="Partially Implemented",0.5,IF(F75="Not Implemented",0,"")))</f>
        <v/>
      </c>
      <c r="I75" s="16"/>
      <c r="J75" s="16"/>
      <c r="K75" s="16"/>
      <c r="L75" s="16"/>
      <c r="M75" s="18" t="str">
        <f aca="false">IF(OR(F75="",F75="Implemented",F75="Not Applicable"),"",IF(AND(E75="High",F75="Not Implemented"),"P1",IF(OR(E75="High",AND(E75="Medium",F75="Not Implemented")),"P2","P3")))</f>
        <v/>
      </c>
      <c r="N75" s="19"/>
      <c r="O75" s="13" t="s">
        <v>156</v>
      </c>
      <c r="P75" s="13" t="s">
        <v>275</v>
      </c>
      <c r="Q75" s="13" t="s">
        <v>351</v>
      </c>
      <c r="R75" s="13" t="s">
        <v>192</v>
      </c>
    </row>
    <row r="76" customFormat="false" ht="23.85" hidden="false" customHeight="false" outlineLevel="0" collapsed="false">
      <c r="A76" s="12" t="s">
        <v>352</v>
      </c>
      <c r="B76" s="13" t="s">
        <v>347</v>
      </c>
      <c r="C76" s="13" t="s">
        <v>353</v>
      </c>
      <c r="D76" s="14" t="n">
        <v>13</v>
      </c>
      <c r="E76" s="15" t="s">
        <v>98</v>
      </c>
      <c r="F76" s="16"/>
      <c r="G76" s="15"/>
      <c r="H76" s="17" t="str">
        <f aca="false">IF(F76="Implemented",1,IF(F76="Partially Implemented",0.5,IF(F76="Not Implemented",0,"")))</f>
        <v/>
      </c>
      <c r="I76" s="16"/>
      <c r="J76" s="16"/>
      <c r="K76" s="16"/>
      <c r="L76" s="16"/>
      <c r="M76" s="18" t="str">
        <f aca="false">IF(OR(F76="",F76="Implemented",F76="Not Applicable"),"",IF(AND(E76="High",F76="Not Implemented"),"P1",IF(OR(E76="High",AND(E76="Medium",F76="Not Implemented")),"P2","P3")))</f>
        <v/>
      </c>
      <c r="N76" s="19"/>
      <c r="O76" s="13" t="s">
        <v>146</v>
      </c>
      <c r="P76" s="13" t="s">
        <v>99</v>
      </c>
      <c r="Q76" s="13" t="s">
        <v>354</v>
      </c>
      <c r="R76" s="13" t="s">
        <v>355</v>
      </c>
    </row>
    <row r="77" customFormat="false" ht="23.85" hidden="false" customHeight="false" outlineLevel="0" collapsed="false">
      <c r="A77" s="12" t="s">
        <v>126</v>
      </c>
      <c r="B77" s="13" t="s">
        <v>347</v>
      </c>
      <c r="C77" s="13" t="s">
        <v>356</v>
      </c>
      <c r="D77" s="14" t="s">
        <v>99</v>
      </c>
      <c r="E77" s="15" t="s">
        <v>120</v>
      </c>
      <c r="F77" s="16"/>
      <c r="G77" s="15"/>
      <c r="H77" s="17" t="str">
        <f aca="false">IF(F77="Implemented",1,IF(F77="Partially Implemented",0.5,IF(F77="Not Implemented",0,"")))</f>
        <v/>
      </c>
      <c r="I77" s="16"/>
      <c r="J77" s="16"/>
      <c r="K77" s="16"/>
      <c r="L77" s="16"/>
      <c r="M77" s="18" t="str">
        <f aca="false">IF(OR(F77="",F77="Implemented",F77="Not Applicable"),"",IF(AND(E77="High",F77="Not Implemented"),"P1",IF(OR(E77="High",AND(E77="Medium",F77="Not Implemented")),"P2","P3")))</f>
        <v/>
      </c>
      <c r="N77" s="19"/>
      <c r="O77" s="13" t="s">
        <v>124</v>
      </c>
      <c r="P77" s="13" t="s">
        <v>357</v>
      </c>
      <c r="Q77" s="13" t="s">
        <v>191</v>
      </c>
      <c r="R77" s="13" t="s">
        <v>161</v>
      </c>
    </row>
    <row r="78" customFormat="false" ht="35.05" hidden="false" customHeight="false" outlineLevel="0" collapsed="false">
      <c r="A78" s="12" t="s">
        <v>358</v>
      </c>
      <c r="B78" s="13" t="s">
        <v>347</v>
      </c>
      <c r="C78" s="13" t="s">
        <v>359</v>
      </c>
      <c r="D78" s="14" t="s">
        <v>99</v>
      </c>
      <c r="E78" s="15" t="s">
        <v>98</v>
      </c>
      <c r="F78" s="16"/>
      <c r="G78" s="15"/>
      <c r="H78" s="17" t="str">
        <f aca="false">IF(F78="Implemented",1,IF(F78="Partially Implemented",0.5,IF(F78="Not Implemented",0,"")))</f>
        <v/>
      </c>
      <c r="I78" s="16"/>
      <c r="J78" s="16"/>
      <c r="K78" s="16"/>
      <c r="L78" s="16"/>
      <c r="M78" s="18" t="str">
        <f aca="false">IF(OR(F78="",F78="Implemented",F78="Not Applicable"),"",IF(AND(E78="High",F78="Not Implemented"),"P1",IF(OR(E78="High",AND(E78="Medium",F78="Not Implemented")),"P2","P3")))</f>
        <v/>
      </c>
      <c r="N78" s="19"/>
      <c r="O78" s="13" t="s">
        <v>99</v>
      </c>
      <c r="P78" s="13" t="s">
        <v>360</v>
      </c>
      <c r="Q78" s="13" t="s">
        <v>361</v>
      </c>
      <c r="R78" s="13" t="s">
        <v>362</v>
      </c>
    </row>
    <row r="79" customFormat="false" ht="23.85" hidden="false" customHeight="false" outlineLevel="0" collapsed="false">
      <c r="A79" s="12" t="s">
        <v>185</v>
      </c>
      <c r="B79" s="13" t="s">
        <v>347</v>
      </c>
      <c r="C79" s="13" t="s">
        <v>363</v>
      </c>
      <c r="D79" s="14" t="s">
        <v>99</v>
      </c>
      <c r="E79" s="15" t="s">
        <v>120</v>
      </c>
      <c r="F79" s="16"/>
      <c r="G79" s="15"/>
      <c r="H79" s="17" t="str">
        <f aca="false">IF(F79="Implemented",1,IF(F79="Partially Implemented",0.5,IF(F79="Not Implemented",0,"")))</f>
        <v/>
      </c>
      <c r="I79" s="16"/>
      <c r="J79" s="16"/>
      <c r="K79" s="16"/>
      <c r="L79" s="16"/>
      <c r="M79" s="18" t="str">
        <f aca="false">IF(OR(F79="",F79="Implemented",F79="Not Applicable"),"",IF(AND(E79="High",F79="Not Implemented"),"P1",IF(OR(E79="High",AND(E79="Medium",F79="Not Implemented")),"P2","P3")))</f>
        <v/>
      </c>
      <c r="N79" s="19"/>
      <c r="O79" s="13" t="s">
        <v>183</v>
      </c>
      <c r="P79" s="13" t="s">
        <v>357</v>
      </c>
      <c r="Q79" s="13" t="s">
        <v>364</v>
      </c>
      <c r="R79" s="13" t="s">
        <v>365</v>
      </c>
    </row>
    <row r="80" customFormat="false" ht="23.85" hidden="false" customHeight="false" outlineLevel="0" collapsed="false">
      <c r="A80" s="12" t="s">
        <v>366</v>
      </c>
      <c r="B80" s="13" t="s">
        <v>347</v>
      </c>
      <c r="C80" s="13" t="s">
        <v>367</v>
      </c>
      <c r="D80" s="14" t="n">
        <v>15</v>
      </c>
      <c r="E80" s="15" t="s">
        <v>120</v>
      </c>
      <c r="F80" s="16"/>
      <c r="G80" s="15"/>
      <c r="H80" s="17" t="str">
        <f aca="false">IF(F80="Implemented",1,IF(F80="Partially Implemented",0.5,IF(F80="Not Implemented",0,"")))</f>
        <v/>
      </c>
      <c r="I80" s="16"/>
      <c r="J80" s="16"/>
      <c r="K80" s="16"/>
      <c r="L80" s="16"/>
      <c r="M80" s="18" t="str">
        <f aca="false">IF(OR(F80="",F80="Implemented",F80="Not Applicable"),"",IF(AND(E80="High",F80="Not Implemented"),"P1",IF(OR(E80="High",AND(E80="Medium",F80="Not Implemented")),"P2","P3")))</f>
        <v/>
      </c>
      <c r="N80" s="19"/>
      <c r="O80" s="13" t="s">
        <v>153</v>
      </c>
      <c r="P80" s="13" t="s">
        <v>99</v>
      </c>
      <c r="Q80" s="13" t="s">
        <v>150</v>
      </c>
      <c r="R80" s="13" t="s">
        <v>99</v>
      </c>
    </row>
    <row r="81" customFormat="false" ht="35.05" hidden="false" customHeight="false" outlineLevel="0" collapsed="false">
      <c r="A81" s="12" t="s">
        <v>304</v>
      </c>
      <c r="B81" s="13" t="s">
        <v>368</v>
      </c>
      <c r="C81" s="13" t="s">
        <v>369</v>
      </c>
      <c r="D81" s="14" t="s">
        <v>99</v>
      </c>
      <c r="E81" s="15" t="s">
        <v>120</v>
      </c>
      <c r="F81" s="16"/>
      <c r="G81" s="15"/>
      <c r="H81" s="17" t="str">
        <f aca="false">IF(F81="Implemented",1,IF(F81="Partially Implemented",0.5,IF(F81="Not Implemented",0,"")))</f>
        <v/>
      </c>
      <c r="I81" s="16"/>
      <c r="J81" s="16"/>
      <c r="K81" s="16"/>
      <c r="L81" s="16"/>
      <c r="M81" s="18" t="str">
        <f aca="false">IF(OR(F81="",F81="Implemented",F81="Not Applicable"),"",IF(AND(E81="High",F81="Not Implemented"),"P1",IF(OR(E81="High",AND(E81="Medium",F81="Not Implemented")),"P2","P3")))</f>
        <v/>
      </c>
      <c r="N81" s="19"/>
      <c r="O81" s="13" t="s">
        <v>302</v>
      </c>
      <c r="P81" s="13" t="s">
        <v>99</v>
      </c>
      <c r="Q81" s="13" t="s">
        <v>370</v>
      </c>
      <c r="R81" s="13" t="s">
        <v>371</v>
      </c>
    </row>
    <row r="82" customFormat="false" ht="35.05" hidden="false" customHeight="false" outlineLevel="0" collapsed="false">
      <c r="A82" s="12" t="s">
        <v>345</v>
      </c>
      <c r="B82" s="13" t="s">
        <v>368</v>
      </c>
      <c r="C82" s="13" t="s">
        <v>372</v>
      </c>
      <c r="D82" s="14" t="n">
        <v>15</v>
      </c>
      <c r="E82" s="15" t="s">
        <v>98</v>
      </c>
      <c r="F82" s="16"/>
      <c r="G82" s="15"/>
      <c r="H82" s="17" t="str">
        <f aca="false">IF(F82="Implemented",1,IF(F82="Partially Implemented",0.5,IF(F82="Not Implemented",0,"")))</f>
        <v/>
      </c>
      <c r="I82" s="16"/>
      <c r="J82" s="16"/>
      <c r="K82" s="16"/>
      <c r="L82" s="16"/>
      <c r="M82" s="18" t="str">
        <f aca="false">IF(OR(F82="",F82="Implemented",F82="Not Applicable"),"",IF(AND(E82="High",F82="Not Implemented"),"P1",IF(OR(E82="High",AND(E82="Medium",F82="Not Implemented")),"P2","P3")))</f>
        <v/>
      </c>
      <c r="N82" s="19"/>
      <c r="O82" s="13" t="s">
        <v>343</v>
      </c>
      <c r="P82" s="13" t="s">
        <v>99</v>
      </c>
      <c r="Q82" s="13" t="s">
        <v>99</v>
      </c>
      <c r="R82" s="13" t="s">
        <v>117</v>
      </c>
    </row>
    <row r="83" customFormat="false" ht="35.05" hidden="false" customHeight="false" outlineLevel="0" collapsed="false">
      <c r="A83" s="12" t="s">
        <v>153</v>
      </c>
      <c r="B83" s="13" t="s">
        <v>368</v>
      </c>
      <c r="C83" s="13" t="s">
        <v>373</v>
      </c>
      <c r="D83" s="14" t="n">
        <v>15</v>
      </c>
      <c r="E83" s="15" t="s">
        <v>98</v>
      </c>
      <c r="F83" s="16"/>
      <c r="G83" s="15"/>
      <c r="H83" s="17" t="str">
        <f aca="false">IF(F83="Implemented",1,IF(F83="Partially Implemented",0.5,IF(F83="Not Implemented",0,"")))</f>
        <v/>
      </c>
      <c r="I83" s="16"/>
      <c r="J83" s="16"/>
      <c r="K83" s="16"/>
      <c r="L83" s="16"/>
      <c r="M83" s="18" t="str">
        <f aca="false">IF(OR(F83="",F83="Implemented",F83="Not Applicable"),"",IF(AND(E83="High",F83="Not Implemented"),"P1",IF(OR(E83="High",AND(E83="Medium",F83="Not Implemented")),"P2","P3")))</f>
        <v/>
      </c>
      <c r="N83" s="19"/>
      <c r="O83" s="13" t="s">
        <v>374</v>
      </c>
      <c r="P83" s="13" t="s">
        <v>99</v>
      </c>
      <c r="Q83" s="13" t="s">
        <v>150</v>
      </c>
      <c r="R83" s="13" t="s">
        <v>99</v>
      </c>
    </row>
    <row r="84" customFormat="false" ht="35.05" hidden="false" customHeight="false" outlineLevel="0" collapsed="false">
      <c r="A84" s="12" t="s">
        <v>330</v>
      </c>
      <c r="B84" s="13" t="s">
        <v>368</v>
      </c>
      <c r="C84" s="13" t="s">
        <v>375</v>
      </c>
      <c r="D84" s="14" t="n">
        <v>15</v>
      </c>
      <c r="E84" s="15" t="s">
        <v>98</v>
      </c>
      <c r="F84" s="16"/>
      <c r="G84" s="15"/>
      <c r="H84" s="17" t="str">
        <f aca="false">IF(F84="Implemented",1,IF(F84="Partially Implemented",0.5,IF(F84="Not Implemented",0,"")))</f>
        <v/>
      </c>
      <c r="I84" s="16"/>
      <c r="J84" s="16"/>
      <c r="K84" s="16"/>
      <c r="L84" s="16"/>
      <c r="M84" s="18" t="str">
        <f aca="false">IF(OR(F84="",F84="Implemented",F84="Not Applicable"),"",IF(AND(E84="High",F84="Not Implemented"),"P1",IF(OR(E84="High",AND(E84="Medium",F84="Not Implemented")),"P2","P3")))</f>
        <v/>
      </c>
      <c r="N84" s="19"/>
      <c r="O84" s="13" t="s">
        <v>328</v>
      </c>
      <c r="P84" s="13" t="s">
        <v>99</v>
      </c>
      <c r="Q84" s="13" t="s">
        <v>376</v>
      </c>
      <c r="R84" s="13" t="s">
        <v>99</v>
      </c>
    </row>
  </sheetData>
  <autoFilter ref="A4:R84"/>
  <conditionalFormatting sqref="F5:F84">
    <cfRule type="cellIs" priority="2" operator="equal" aboveAverage="0" equalAverage="0" bottom="0" percent="0" rank="0" text="" dxfId="5">
      <formula>"Implemented"</formula>
    </cfRule>
    <cfRule type="cellIs" priority="3" operator="equal" aboveAverage="0" equalAverage="0" bottom="0" percent="0" rank="0" text="" dxfId="6">
      <formula>"Partially Implemented"</formula>
    </cfRule>
    <cfRule type="cellIs" priority="4" operator="equal" aboveAverage="0" equalAverage="0" bottom="0" percent="0" rank="0" text="" dxfId="7">
      <formula>"Not Implemented"</formula>
    </cfRule>
    <cfRule type="cellIs" priority="5" operator="equal" aboveAverage="0" equalAverage="0" bottom="0" percent="0" rank="0" text="" dxfId="8">
      <formula>"Not Applicable"</formula>
    </cfRule>
  </conditionalFormatting>
  <conditionalFormatting sqref="M5:M84">
    <cfRule type="cellIs" priority="6" operator="equal" aboveAverage="0" equalAverage="0" bottom="0" percent="0" rank="0" text="" dxfId="9">
      <formula>"P1"</formula>
    </cfRule>
    <cfRule type="cellIs" priority="7" operator="equal" aboveAverage="0" equalAverage="0" bottom="0" percent="0" rank="0" text="" dxfId="10">
      <formula>"P2"</formula>
    </cfRule>
    <cfRule type="cellIs" priority="8" operator="equal" aboveAverage="0" equalAverage="0" bottom="0" percent="0" rank="0" text="" dxfId="11">
      <formula>"P3"</formula>
    </cfRule>
  </conditionalFormatting>
  <dataValidations count="3">
    <dataValidation allowBlank="true" errorStyle="stop" operator="between" showDropDown="false" showErrorMessage="false" showInputMessage="false" sqref="F5:F84" type="list">
      <formula1>Lists!$A$1:$A$4</formula1>
      <formula2>0</formula2>
    </dataValidation>
    <dataValidation allowBlank="true" errorStyle="stop" operator="between" showDropDown="false" showErrorMessage="false" showInputMessage="false" sqref="G5:G84" type="list">
      <formula1>Lists!$B$1:$B$6</formula1>
      <formula2>0</formula2>
    </dataValidation>
    <dataValidation allowBlank="true" errorStyle="stop" operator="between" showDropDown="false" showErrorMessage="false" showInputMessage="false" sqref="E5:E84" type="list">
      <formula1>Lists!$C$1:$C$3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3" min="2" style="0" width="10"/>
    <col collapsed="false" customWidth="true" hidden="false" outlineLevel="0" max="4" min="4" style="0" width="12"/>
    <col collapsed="false" customWidth="true" hidden="false" outlineLevel="0" max="5" min="5" style="0" width="10"/>
    <col collapsed="false" customWidth="true" hidden="false" outlineLevel="0" max="6" min="6" style="0" width="13"/>
    <col collapsed="false" customWidth="true" hidden="false" outlineLevel="0" max="8" min="7" style="0" width="12"/>
    <col collapsed="false" customWidth="true" hidden="false" outlineLevel="0" max="10" min="9" style="0" width="11"/>
    <col collapsed="false" customWidth="true" hidden="false" outlineLevel="0" max="12" min="11" style="0" width="9"/>
  </cols>
  <sheetData>
    <row r="1" customFormat="false" ht="17.35" hidden="false" customHeight="false" outlineLevel="0" collapsed="false">
      <c r="A1" s="10" t="s">
        <v>377</v>
      </c>
    </row>
    <row r="2" customFormat="false" ht="15" hidden="false" customHeight="false" outlineLevel="0" collapsed="false">
      <c r="A2" s="2" t="str">
        <f aca="false">"Scope: "&amp;IF(Instructions!C7="","(set on Instructions tab)",Instructions!C7)</f>
        <v>Scope: (set on Instructions tab)</v>
      </c>
    </row>
    <row r="4" customFormat="false" ht="36" hidden="false" customHeight="true" outlineLevel="0" collapsed="false">
      <c r="A4" s="11" t="s">
        <v>80</v>
      </c>
      <c r="B4" s="11" t="s">
        <v>378</v>
      </c>
      <c r="C4" s="11" t="s">
        <v>379</v>
      </c>
      <c r="D4" s="11" t="s">
        <v>26</v>
      </c>
      <c r="E4" s="11" t="s">
        <v>380</v>
      </c>
      <c r="F4" s="11" t="s">
        <v>30</v>
      </c>
      <c r="G4" s="11" t="s">
        <v>32</v>
      </c>
      <c r="H4" s="11" t="s">
        <v>381</v>
      </c>
      <c r="I4" s="11" t="s">
        <v>34</v>
      </c>
      <c r="J4" s="11" t="s">
        <v>382</v>
      </c>
      <c r="K4" s="11" t="s">
        <v>383</v>
      </c>
      <c r="L4" s="11" t="s">
        <v>384</v>
      </c>
    </row>
    <row r="5" customFormat="false" ht="15" hidden="false" customHeight="false" outlineLevel="0" collapsed="false">
      <c r="A5" s="20" t="s">
        <v>96</v>
      </c>
      <c r="B5" s="21" t="n">
        <f aca="false">COUNTIF(Assessment!$B$5:$B$84,$A5)</f>
        <v>6</v>
      </c>
      <c r="C5" s="21" t="n">
        <f aca="false">COUNTIFS(Assessment!$B$5:$B$84,$A5,Assessment!$F$5:$F$84,"&lt;&gt;")</f>
        <v>0</v>
      </c>
      <c r="D5" s="21" t="n">
        <f aca="false">COUNTIFS(Assessment!$B$5:$B$84,$A5,Assessment!$F$5:$F$84,"Implemented")</f>
        <v>0</v>
      </c>
      <c r="E5" s="21" t="n">
        <f aca="false">COUNTIFS(Assessment!$B$5:$B$84,$A5,Assessment!$F$5:$F$84,"Partially Implemented")</f>
        <v>0</v>
      </c>
      <c r="F5" s="21" t="n">
        <f aca="false">COUNTIFS(Assessment!$B$5:$B$84,$A5,Assessment!$F$5:$F$84,"Not Implemented")</f>
        <v>0</v>
      </c>
      <c r="G5" s="21" t="n">
        <f aca="false">COUNTIFS(Assessment!$B$5:$B$84,$A5,Assessment!$F$5:$F$84,"Not Applicable")</f>
        <v>0</v>
      </c>
      <c r="H5" s="21" t="n">
        <f aca="false">B5-C5</f>
        <v>6</v>
      </c>
      <c r="I5" s="22" t="str">
        <f aca="false">IF((D5+E5+F5)=0,"",(D5+0.5*E5)/(D5+E5+F5))</f>
        <v/>
      </c>
      <c r="J5" s="23" t="str">
        <f aca="false">IFERROR(AVERAGEIFS(Assessment!$G$5:$G$84,Assessment!$B$5:$B$84,$A5),"")</f>
        <v/>
      </c>
      <c r="K5" s="21" t="n">
        <f aca="false">COUNTIFS(Assessment!$B$5:$B$84,$A5,Assessment!$M$5:$M$84,"P1")</f>
        <v>0</v>
      </c>
      <c r="L5" s="21" t="n">
        <f aca="false">COUNTIFS(Assessment!$B$5:$B$84,$A5,Assessment!$M$5:$M$84,"P2")</f>
        <v>0</v>
      </c>
    </row>
    <row r="6" customFormat="false" ht="15" hidden="false" customHeight="false" outlineLevel="0" collapsed="false">
      <c r="A6" s="20" t="s">
        <v>130</v>
      </c>
      <c r="B6" s="21" t="n">
        <f aca="false">COUNTIF(Assessment!$B$5:$B$84,$A6)</f>
        <v>15</v>
      </c>
      <c r="C6" s="21" t="n">
        <f aca="false">COUNTIFS(Assessment!$B$5:$B$84,$A6,Assessment!$F$5:$F$84,"&lt;&gt;")</f>
        <v>0</v>
      </c>
      <c r="D6" s="21" t="n">
        <f aca="false">COUNTIFS(Assessment!$B$5:$B$84,$A6,Assessment!$F$5:$F$84,"Implemented")</f>
        <v>0</v>
      </c>
      <c r="E6" s="21" t="n">
        <f aca="false">COUNTIFS(Assessment!$B$5:$B$84,$A6,Assessment!$F$5:$F$84,"Partially Implemented")</f>
        <v>0</v>
      </c>
      <c r="F6" s="21" t="n">
        <f aca="false">COUNTIFS(Assessment!$B$5:$B$84,$A6,Assessment!$F$5:$F$84,"Not Implemented")</f>
        <v>0</v>
      </c>
      <c r="G6" s="21" t="n">
        <f aca="false">COUNTIFS(Assessment!$B$5:$B$84,$A6,Assessment!$F$5:$F$84,"Not Applicable")</f>
        <v>0</v>
      </c>
      <c r="H6" s="21" t="n">
        <f aca="false">B6-C6</f>
        <v>15</v>
      </c>
      <c r="I6" s="22" t="str">
        <f aca="false">IF((D6+E6+F6)=0,"",(D6+0.5*E6)/(D6+E6+F6))</f>
        <v/>
      </c>
      <c r="J6" s="23" t="str">
        <f aca="false">IFERROR(AVERAGEIFS(Assessment!$G$5:$G$84,Assessment!$B$5:$B$84,$A6),"")</f>
        <v/>
      </c>
      <c r="K6" s="21" t="n">
        <f aca="false">COUNTIFS(Assessment!$B$5:$B$84,$A6,Assessment!$M$5:$M$84,"P1")</f>
        <v>0</v>
      </c>
      <c r="L6" s="21" t="n">
        <f aca="false">COUNTIFS(Assessment!$B$5:$B$84,$A6,Assessment!$M$5:$M$84,"P2")</f>
        <v>0</v>
      </c>
    </row>
    <row r="7" customFormat="false" ht="15" hidden="false" customHeight="false" outlineLevel="0" collapsed="false">
      <c r="A7" s="20" t="s">
        <v>197</v>
      </c>
      <c r="B7" s="21" t="n">
        <f aca="false">COUNTIF(Assessment!$B$5:$B$84,$A7)</f>
        <v>8</v>
      </c>
      <c r="C7" s="21" t="n">
        <f aca="false">COUNTIFS(Assessment!$B$5:$B$84,$A7,Assessment!$F$5:$F$84,"&lt;&gt;")</f>
        <v>0</v>
      </c>
      <c r="D7" s="21" t="n">
        <f aca="false">COUNTIFS(Assessment!$B$5:$B$84,$A7,Assessment!$F$5:$F$84,"Implemented")</f>
        <v>0</v>
      </c>
      <c r="E7" s="21" t="n">
        <f aca="false">COUNTIFS(Assessment!$B$5:$B$84,$A7,Assessment!$F$5:$F$84,"Partially Implemented")</f>
        <v>0</v>
      </c>
      <c r="F7" s="21" t="n">
        <f aca="false">COUNTIFS(Assessment!$B$5:$B$84,$A7,Assessment!$F$5:$F$84,"Not Implemented")</f>
        <v>0</v>
      </c>
      <c r="G7" s="21" t="n">
        <f aca="false">COUNTIFS(Assessment!$B$5:$B$84,$A7,Assessment!$F$5:$F$84,"Not Applicable")</f>
        <v>0</v>
      </c>
      <c r="H7" s="21" t="n">
        <f aca="false">B7-C7</f>
        <v>8</v>
      </c>
      <c r="I7" s="22" t="str">
        <f aca="false">IF((D7+E7+F7)=0,"",(D7+0.5*E7)/(D7+E7+F7))</f>
        <v/>
      </c>
      <c r="J7" s="23" t="str">
        <f aca="false">IFERROR(AVERAGEIFS(Assessment!$G$5:$G$84,Assessment!$B$5:$B$84,$A7),"")</f>
        <v/>
      </c>
      <c r="K7" s="21" t="n">
        <f aca="false">COUNTIFS(Assessment!$B$5:$B$84,$A7,Assessment!$M$5:$M$84,"P1")</f>
        <v>0</v>
      </c>
      <c r="L7" s="21" t="n">
        <f aca="false">COUNTIFS(Assessment!$B$5:$B$84,$A7,Assessment!$M$5:$M$84,"P2")</f>
        <v>0</v>
      </c>
    </row>
    <row r="8" customFormat="false" ht="15" hidden="false" customHeight="false" outlineLevel="0" collapsed="false">
      <c r="A8" s="20" t="s">
        <v>227</v>
      </c>
      <c r="B8" s="21" t="n">
        <f aca="false">COUNTIF(Assessment!$B$5:$B$84,$A8)</f>
        <v>7</v>
      </c>
      <c r="C8" s="21" t="n">
        <f aca="false">COUNTIFS(Assessment!$B$5:$B$84,$A8,Assessment!$F$5:$F$84,"&lt;&gt;")</f>
        <v>0</v>
      </c>
      <c r="D8" s="21" t="n">
        <f aca="false">COUNTIFS(Assessment!$B$5:$B$84,$A8,Assessment!$F$5:$F$84,"Implemented")</f>
        <v>0</v>
      </c>
      <c r="E8" s="21" t="n">
        <f aca="false">COUNTIFS(Assessment!$B$5:$B$84,$A8,Assessment!$F$5:$F$84,"Partially Implemented")</f>
        <v>0</v>
      </c>
      <c r="F8" s="21" t="n">
        <f aca="false">COUNTIFS(Assessment!$B$5:$B$84,$A8,Assessment!$F$5:$F$84,"Not Implemented")</f>
        <v>0</v>
      </c>
      <c r="G8" s="21" t="n">
        <f aca="false">COUNTIFS(Assessment!$B$5:$B$84,$A8,Assessment!$F$5:$F$84,"Not Applicable")</f>
        <v>0</v>
      </c>
      <c r="H8" s="21" t="n">
        <f aca="false">B8-C8</f>
        <v>7</v>
      </c>
      <c r="I8" s="22" t="str">
        <f aca="false">IF((D8+E8+F8)=0,"",(D8+0.5*E8)/(D8+E8+F8))</f>
        <v/>
      </c>
      <c r="J8" s="23" t="str">
        <f aca="false">IFERROR(AVERAGEIFS(Assessment!$G$5:$G$84,Assessment!$B$5:$B$84,$A8),"")</f>
        <v/>
      </c>
      <c r="K8" s="21" t="n">
        <f aca="false">COUNTIFS(Assessment!$B$5:$B$84,$A8,Assessment!$M$5:$M$84,"P1")</f>
        <v>0</v>
      </c>
      <c r="L8" s="21" t="n">
        <f aca="false">COUNTIFS(Assessment!$B$5:$B$84,$A8,Assessment!$M$5:$M$84,"P2")</f>
        <v>0</v>
      </c>
    </row>
    <row r="9" customFormat="false" ht="15" hidden="false" customHeight="false" outlineLevel="0" collapsed="false">
      <c r="A9" s="20" t="s">
        <v>251</v>
      </c>
      <c r="B9" s="21" t="n">
        <f aca="false">COUNTIF(Assessment!$B$5:$B$84,$A9)</f>
        <v>7</v>
      </c>
      <c r="C9" s="21" t="n">
        <f aca="false">COUNTIFS(Assessment!$B$5:$B$84,$A9,Assessment!$F$5:$F$84,"&lt;&gt;")</f>
        <v>0</v>
      </c>
      <c r="D9" s="21" t="n">
        <f aca="false">COUNTIFS(Assessment!$B$5:$B$84,$A9,Assessment!$F$5:$F$84,"Implemented")</f>
        <v>0</v>
      </c>
      <c r="E9" s="21" t="n">
        <f aca="false">COUNTIFS(Assessment!$B$5:$B$84,$A9,Assessment!$F$5:$F$84,"Partially Implemented")</f>
        <v>0</v>
      </c>
      <c r="F9" s="21" t="n">
        <f aca="false">COUNTIFS(Assessment!$B$5:$B$84,$A9,Assessment!$F$5:$F$84,"Not Implemented")</f>
        <v>0</v>
      </c>
      <c r="G9" s="21" t="n">
        <f aca="false">COUNTIFS(Assessment!$B$5:$B$84,$A9,Assessment!$F$5:$F$84,"Not Applicable")</f>
        <v>0</v>
      </c>
      <c r="H9" s="21" t="n">
        <f aca="false">B9-C9</f>
        <v>7</v>
      </c>
      <c r="I9" s="22" t="str">
        <f aca="false">IF((D9+E9+F9)=0,"",(D9+0.5*E9)/(D9+E9+F9))</f>
        <v/>
      </c>
      <c r="J9" s="23" t="str">
        <f aca="false">IFERROR(AVERAGEIFS(Assessment!$G$5:$G$84,Assessment!$B$5:$B$84,$A9),"")</f>
        <v/>
      </c>
      <c r="K9" s="21" t="n">
        <f aca="false">COUNTIFS(Assessment!$B$5:$B$84,$A9,Assessment!$M$5:$M$84,"P1")</f>
        <v>0</v>
      </c>
      <c r="L9" s="21" t="n">
        <f aca="false">COUNTIFS(Assessment!$B$5:$B$84,$A9,Assessment!$M$5:$M$84,"P2")</f>
        <v>0</v>
      </c>
    </row>
    <row r="10" customFormat="false" ht="15" hidden="false" customHeight="false" outlineLevel="0" collapsed="false">
      <c r="A10" s="20" t="s">
        <v>278</v>
      </c>
      <c r="B10" s="21" t="n">
        <f aca="false">COUNTIF(Assessment!$B$5:$B$84,$A10)</f>
        <v>9</v>
      </c>
      <c r="C10" s="21" t="n">
        <f aca="false">COUNTIFS(Assessment!$B$5:$B$84,$A10,Assessment!$F$5:$F$84,"&lt;&gt;")</f>
        <v>0</v>
      </c>
      <c r="D10" s="21" t="n">
        <f aca="false">COUNTIFS(Assessment!$B$5:$B$84,$A10,Assessment!$F$5:$F$84,"Implemented")</f>
        <v>0</v>
      </c>
      <c r="E10" s="21" t="n">
        <f aca="false">COUNTIFS(Assessment!$B$5:$B$84,$A10,Assessment!$F$5:$F$84,"Partially Implemented")</f>
        <v>0</v>
      </c>
      <c r="F10" s="21" t="n">
        <f aca="false">COUNTIFS(Assessment!$B$5:$B$84,$A10,Assessment!$F$5:$F$84,"Not Implemented")</f>
        <v>0</v>
      </c>
      <c r="G10" s="21" t="n">
        <f aca="false">COUNTIFS(Assessment!$B$5:$B$84,$A10,Assessment!$F$5:$F$84,"Not Applicable")</f>
        <v>0</v>
      </c>
      <c r="H10" s="21" t="n">
        <f aca="false">B10-C10</f>
        <v>9</v>
      </c>
      <c r="I10" s="22" t="str">
        <f aca="false">IF((D10+E10+F10)=0,"",(D10+0.5*E10)/(D10+E10+F10))</f>
        <v/>
      </c>
      <c r="J10" s="23" t="str">
        <f aca="false">IFERROR(AVERAGEIFS(Assessment!$G$5:$G$84,Assessment!$B$5:$B$84,$A10),"")</f>
        <v/>
      </c>
      <c r="K10" s="21" t="n">
        <f aca="false">COUNTIFS(Assessment!$B$5:$B$84,$A10,Assessment!$M$5:$M$84,"P1")</f>
        <v>0</v>
      </c>
      <c r="L10" s="21" t="n">
        <f aca="false">COUNTIFS(Assessment!$B$5:$B$84,$A10,Assessment!$M$5:$M$84,"P2")</f>
        <v>0</v>
      </c>
    </row>
    <row r="11" customFormat="false" ht="15" hidden="false" customHeight="false" outlineLevel="0" collapsed="false">
      <c r="A11" s="20" t="s">
        <v>300</v>
      </c>
      <c r="B11" s="21" t="n">
        <f aca="false">COUNTIF(Assessment!$B$5:$B$84,$A11)</f>
        <v>6</v>
      </c>
      <c r="C11" s="21" t="n">
        <f aca="false">COUNTIFS(Assessment!$B$5:$B$84,$A11,Assessment!$F$5:$F$84,"&lt;&gt;")</f>
        <v>0</v>
      </c>
      <c r="D11" s="21" t="n">
        <f aca="false">COUNTIFS(Assessment!$B$5:$B$84,$A11,Assessment!$F$5:$F$84,"Implemented")</f>
        <v>0</v>
      </c>
      <c r="E11" s="21" t="n">
        <f aca="false">COUNTIFS(Assessment!$B$5:$B$84,$A11,Assessment!$F$5:$F$84,"Partially Implemented")</f>
        <v>0</v>
      </c>
      <c r="F11" s="21" t="n">
        <f aca="false">COUNTIFS(Assessment!$B$5:$B$84,$A11,Assessment!$F$5:$F$84,"Not Implemented")</f>
        <v>0</v>
      </c>
      <c r="G11" s="21" t="n">
        <f aca="false">COUNTIFS(Assessment!$B$5:$B$84,$A11,Assessment!$F$5:$F$84,"Not Applicable")</f>
        <v>0</v>
      </c>
      <c r="H11" s="21" t="n">
        <f aca="false">B11-C11</f>
        <v>6</v>
      </c>
      <c r="I11" s="22" t="str">
        <f aca="false">IF((D11+E11+F11)=0,"",(D11+0.5*E11)/(D11+E11+F11))</f>
        <v/>
      </c>
      <c r="J11" s="23" t="str">
        <f aca="false">IFERROR(AVERAGEIFS(Assessment!$G$5:$G$84,Assessment!$B$5:$B$84,$A11),"")</f>
        <v/>
      </c>
      <c r="K11" s="21" t="n">
        <f aca="false">COUNTIFS(Assessment!$B$5:$B$84,$A11,Assessment!$M$5:$M$84,"P1")</f>
        <v>0</v>
      </c>
      <c r="L11" s="21" t="n">
        <f aca="false">COUNTIFS(Assessment!$B$5:$B$84,$A11,Assessment!$M$5:$M$84,"P2")</f>
        <v>0</v>
      </c>
    </row>
    <row r="12" customFormat="false" ht="15" hidden="false" customHeight="false" outlineLevel="0" collapsed="false">
      <c r="A12" s="20" t="s">
        <v>314</v>
      </c>
      <c r="B12" s="21" t="n">
        <f aca="false">COUNTIF(Assessment!$B$5:$B$84,$A12)</f>
        <v>6</v>
      </c>
      <c r="C12" s="21" t="n">
        <f aca="false">COUNTIFS(Assessment!$B$5:$B$84,$A12,Assessment!$F$5:$F$84,"&lt;&gt;")</f>
        <v>0</v>
      </c>
      <c r="D12" s="21" t="n">
        <f aca="false">COUNTIFS(Assessment!$B$5:$B$84,$A12,Assessment!$F$5:$F$84,"Implemented")</f>
        <v>0</v>
      </c>
      <c r="E12" s="21" t="n">
        <f aca="false">COUNTIFS(Assessment!$B$5:$B$84,$A12,Assessment!$F$5:$F$84,"Partially Implemented")</f>
        <v>0</v>
      </c>
      <c r="F12" s="21" t="n">
        <f aca="false">COUNTIFS(Assessment!$B$5:$B$84,$A12,Assessment!$F$5:$F$84,"Not Implemented")</f>
        <v>0</v>
      </c>
      <c r="G12" s="21" t="n">
        <f aca="false">COUNTIFS(Assessment!$B$5:$B$84,$A12,Assessment!$F$5:$F$84,"Not Applicable")</f>
        <v>0</v>
      </c>
      <c r="H12" s="21" t="n">
        <f aca="false">B12-C12</f>
        <v>6</v>
      </c>
      <c r="I12" s="22" t="str">
        <f aca="false">IF((D12+E12+F12)=0,"",(D12+0.5*E12)/(D12+E12+F12))</f>
        <v/>
      </c>
      <c r="J12" s="23" t="str">
        <f aca="false">IFERROR(AVERAGEIFS(Assessment!$G$5:$G$84,Assessment!$B$5:$B$84,$A12),"")</f>
        <v/>
      </c>
      <c r="K12" s="21" t="n">
        <f aca="false">COUNTIFS(Assessment!$B$5:$B$84,$A12,Assessment!$M$5:$M$84,"P1")</f>
        <v>0</v>
      </c>
      <c r="L12" s="21" t="n">
        <f aca="false">COUNTIFS(Assessment!$B$5:$B$84,$A12,Assessment!$M$5:$M$84,"P2")</f>
        <v>0</v>
      </c>
    </row>
    <row r="13" customFormat="false" ht="15" hidden="false" customHeight="false" outlineLevel="0" collapsed="false">
      <c r="A13" s="20" t="s">
        <v>331</v>
      </c>
      <c r="B13" s="21" t="n">
        <f aca="false">COUNTIF(Assessment!$B$5:$B$84,$A13)</f>
        <v>5</v>
      </c>
      <c r="C13" s="21" t="n">
        <f aca="false">COUNTIFS(Assessment!$B$5:$B$84,$A13,Assessment!$F$5:$F$84,"&lt;&gt;")</f>
        <v>0</v>
      </c>
      <c r="D13" s="21" t="n">
        <f aca="false">COUNTIFS(Assessment!$B$5:$B$84,$A13,Assessment!$F$5:$F$84,"Implemented")</f>
        <v>0</v>
      </c>
      <c r="E13" s="21" t="n">
        <f aca="false">COUNTIFS(Assessment!$B$5:$B$84,$A13,Assessment!$F$5:$F$84,"Partially Implemented")</f>
        <v>0</v>
      </c>
      <c r="F13" s="21" t="n">
        <f aca="false">COUNTIFS(Assessment!$B$5:$B$84,$A13,Assessment!$F$5:$F$84,"Not Implemented")</f>
        <v>0</v>
      </c>
      <c r="G13" s="21" t="n">
        <f aca="false">COUNTIFS(Assessment!$B$5:$B$84,$A13,Assessment!$F$5:$F$84,"Not Applicable")</f>
        <v>0</v>
      </c>
      <c r="H13" s="21" t="n">
        <f aca="false">B13-C13</f>
        <v>5</v>
      </c>
      <c r="I13" s="22" t="str">
        <f aca="false">IF((D13+E13+F13)=0,"",(D13+0.5*E13)/(D13+E13+F13))</f>
        <v/>
      </c>
      <c r="J13" s="23" t="str">
        <f aca="false">IFERROR(AVERAGEIFS(Assessment!$G$5:$G$84,Assessment!$B$5:$B$84,$A13),"")</f>
        <v/>
      </c>
      <c r="K13" s="21" t="n">
        <f aca="false">COUNTIFS(Assessment!$B$5:$B$84,$A13,Assessment!$M$5:$M$84,"P1")</f>
        <v>0</v>
      </c>
      <c r="L13" s="21" t="n">
        <f aca="false">COUNTIFS(Assessment!$B$5:$B$84,$A13,Assessment!$M$5:$M$84,"P2")</f>
        <v>0</v>
      </c>
    </row>
    <row r="14" customFormat="false" ht="15" hidden="false" customHeight="false" outlineLevel="0" collapsed="false">
      <c r="A14" s="20" t="s">
        <v>347</v>
      </c>
      <c r="B14" s="21" t="n">
        <f aca="false">COUNTIF(Assessment!$B$5:$B$84,$A14)</f>
        <v>7</v>
      </c>
      <c r="C14" s="21" t="n">
        <f aca="false">COUNTIFS(Assessment!$B$5:$B$84,$A14,Assessment!$F$5:$F$84,"&lt;&gt;")</f>
        <v>0</v>
      </c>
      <c r="D14" s="21" t="n">
        <f aca="false">COUNTIFS(Assessment!$B$5:$B$84,$A14,Assessment!$F$5:$F$84,"Implemented")</f>
        <v>0</v>
      </c>
      <c r="E14" s="21" t="n">
        <f aca="false">COUNTIFS(Assessment!$B$5:$B$84,$A14,Assessment!$F$5:$F$84,"Partially Implemented")</f>
        <v>0</v>
      </c>
      <c r="F14" s="21" t="n">
        <f aca="false">COUNTIFS(Assessment!$B$5:$B$84,$A14,Assessment!$F$5:$F$84,"Not Implemented")</f>
        <v>0</v>
      </c>
      <c r="G14" s="21" t="n">
        <f aca="false">COUNTIFS(Assessment!$B$5:$B$84,$A14,Assessment!$F$5:$F$84,"Not Applicable")</f>
        <v>0</v>
      </c>
      <c r="H14" s="21" t="n">
        <f aca="false">B14-C14</f>
        <v>7</v>
      </c>
      <c r="I14" s="22" t="str">
        <f aca="false">IF((D14+E14+F14)=0,"",(D14+0.5*E14)/(D14+E14+F14))</f>
        <v/>
      </c>
      <c r="J14" s="23" t="str">
        <f aca="false">IFERROR(AVERAGEIFS(Assessment!$G$5:$G$84,Assessment!$B$5:$B$84,$A14),"")</f>
        <v/>
      </c>
      <c r="K14" s="21" t="n">
        <f aca="false">COUNTIFS(Assessment!$B$5:$B$84,$A14,Assessment!$M$5:$M$84,"P1")</f>
        <v>0</v>
      </c>
      <c r="L14" s="21" t="n">
        <f aca="false">COUNTIFS(Assessment!$B$5:$B$84,$A14,Assessment!$M$5:$M$84,"P2")</f>
        <v>0</v>
      </c>
    </row>
    <row r="15" customFormat="false" ht="15" hidden="false" customHeight="false" outlineLevel="0" collapsed="false">
      <c r="A15" s="20" t="s">
        <v>368</v>
      </c>
      <c r="B15" s="21" t="n">
        <f aca="false">COUNTIF(Assessment!$B$5:$B$84,$A15)</f>
        <v>4</v>
      </c>
      <c r="C15" s="21" t="n">
        <f aca="false">COUNTIFS(Assessment!$B$5:$B$84,$A15,Assessment!$F$5:$F$84,"&lt;&gt;")</f>
        <v>0</v>
      </c>
      <c r="D15" s="21" t="n">
        <f aca="false">COUNTIFS(Assessment!$B$5:$B$84,$A15,Assessment!$F$5:$F$84,"Implemented")</f>
        <v>0</v>
      </c>
      <c r="E15" s="21" t="n">
        <f aca="false">COUNTIFS(Assessment!$B$5:$B$84,$A15,Assessment!$F$5:$F$84,"Partially Implemented")</f>
        <v>0</v>
      </c>
      <c r="F15" s="21" t="n">
        <f aca="false">COUNTIFS(Assessment!$B$5:$B$84,$A15,Assessment!$F$5:$F$84,"Not Implemented")</f>
        <v>0</v>
      </c>
      <c r="G15" s="21" t="n">
        <f aca="false">COUNTIFS(Assessment!$B$5:$B$84,$A15,Assessment!$F$5:$F$84,"Not Applicable")</f>
        <v>0</v>
      </c>
      <c r="H15" s="21" t="n">
        <f aca="false">B15-C15</f>
        <v>4</v>
      </c>
      <c r="I15" s="22" t="str">
        <f aca="false">IF((D15+E15+F15)=0,"",(D15+0.5*E15)/(D15+E15+F15))</f>
        <v/>
      </c>
      <c r="J15" s="23" t="str">
        <f aca="false">IFERROR(AVERAGEIFS(Assessment!$G$5:$G$84,Assessment!$B$5:$B$84,$A15),"")</f>
        <v/>
      </c>
      <c r="K15" s="21" t="n">
        <f aca="false">COUNTIFS(Assessment!$B$5:$B$84,$A15,Assessment!$M$5:$M$84,"P1")</f>
        <v>0</v>
      </c>
      <c r="L15" s="21" t="n">
        <f aca="false">COUNTIFS(Assessment!$B$5:$B$84,$A15,Assessment!$M$5:$M$84,"P2")</f>
        <v>0</v>
      </c>
    </row>
    <row r="16" customFormat="false" ht="15" hidden="false" customHeight="false" outlineLevel="0" collapsed="false">
      <c r="A16" s="24" t="s">
        <v>385</v>
      </c>
      <c r="B16" s="25" t="n">
        <f aca="false">SUM(B5:B15)</f>
        <v>80</v>
      </c>
      <c r="C16" s="25" t="n">
        <f aca="false">SUM(C5:C15)</f>
        <v>0</v>
      </c>
      <c r="D16" s="25" t="n">
        <f aca="false">SUM(D5:D15)</f>
        <v>0</v>
      </c>
      <c r="E16" s="25" t="n">
        <f aca="false">SUM(E5:E15)</f>
        <v>0</v>
      </c>
      <c r="F16" s="25" t="n">
        <f aca="false">SUM(F5:F15)</f>
        <v>0</v>
      </c>
      <c r="G16" s="25" t="n">
        <f aca="false">SUM(G5:G15)</f>
        <v>0</v>
      </c>
      <c r="H16" s="25" t="n">
        <f aca="false">SUM(H5:H15)</f>
        <v>80</v>
      </c>
      <c r="I16" s="26" t="str">
        <f aca="false">IF((D16+E16+F16)=0,"",(D16+0.5*E16)/(D16+E16+F16))</f>
        <v/>
      </c>
      <c r="J16" s="27" t="str">
        <f aca="false">IFERROR(AVERAGE(Assessment!$G$5:$G$84),"")</f>
        <v/>
      </c>
      <c r="K16" s="25" t="n">
        <f aca="false">SUM(K5:K15)</f>
        <v>0</v>
      </c>
      <c r="L16" s="25" t="n">
        <f aca="false">SUM(L5:L15)</f>
        <v>0</v>
      </c>
    </row>
    <row r="18" customFormat="false" ht="15" hidden="false" customHeight="false" outlineLevel="0" collapsed="false">
      <c r="A18" s="28" t="s">
        <v>386</v>
      </c>
    </row>
  </sheetData>
  <conditionalFormatting sqref="I5:I15">
    <cfRule type="dataBar" priority="2">
      <dataBar showValue="1" minLength="10" maxLength="90">
        <cfvo type="num" val="0"/>
        <cfvo type="num" val="1"/>
        <color rgb="FF21806B"/>
      </dataBar>
      <extLst>
        <ext xmlns:x14="http://schemas.microsoft.com/office/spreadsheetml/2009/9/main" uri="{B025F937-C7B1-47D3-B67F-A62EFF666E3E}">
          <x14:id>{E071004E-704F-4F64-9C2B-E850456ACC5D}</x14:id>
        </ext>
      </extLst>
    </cfRule>
  </conditionalFormatting>
  <conditionalFormatting sqref="K5:K16">
    <cfRule type="cellIs" priority="3" operator="greaterThan" aboveAverage="0" equalAverage="0" bottom="0" percent="0" rank="0" text="" dxfId="1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E071004E-704F-4F64-9C2B-E850456ACC5D}">
            <x14:dataBar minLength="10" maxLength="90" axisPosition="none" gradient="true">
              <x14:cfvo type="num">
                <xm:f>0</xm:f>
              </x14:cfvo>
              <x14:cfvo type="num">
                <xm:f>1</xm:f>
              </x14:cfvo>
              <x14:negativeFillColor rgb="FF21806B"/>
              <x14:axisColor rgb="FF000000"/>
            </x14:dataBar>
          </x14:cfRule>
          <xm:sqref>I5:I15</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8"/>
    <col collapsed="false" customWidth="true" hidden="false" outlineLevel="0" max="3" min="3" style="0" width="30"/>
    <col collapsed="false" customWidth="true" hidden="false" outlineLevel="0" max="4" min="4" style="0" width="9"/>
    <col collapsed="false" customWidth="true" hidden="false" outlineLevel="0" max="5" min="5" style="0" width="12"/>
    <col collapsed="false" customWidth="true" hidden="false" outlineLevel="0" max="7" min="6" style="0" width="9"/>
    <col collapsed="false" customWidth="true" hidden="false" outlineLevel="0" max="8" min="8" style="0" width="11"/>
    <col collapsed="false" customWidth="true" hidden="false" outlineLevel="0" max="10" min="9" style="0" width="15"/>
    <col collapsed="false" customWidth="true" hidden="false" outlineLevel="0" max="11" min="11" style="0" width="40"/>
  </cols>
  <sheetData>
    <row r="1" customFormat="false" ht="17.35" hidden="false" customHeight="false" outlineLevel="0" collapsed="false">
      <c r="A1" s="10" t="s">
        <v>387</v>
      </c>
    </row>
    <row r="2" customFormat="false" ht="15" hidden="false" customHeight="false" outlineLevel="0" collapsed="false">
      <c r="A2" s="2" t="s">
        <v>388</v>
      </c>
    </row>
    <row r="4" customFormat="false" ht="36" hidden="false" customHeight="true" outlineLevel="0" collapsed="false">
      <c r="A4" s="11" t="s">
        <v>389</v>
      </c>
      <c r="B4" s="11" t="s">
        <v>390</v>
      </c>
      <c r="C4" s="11" t="s">
        <v>391</v>
      </c>
      <c r="D4" s="11" t="s">
        <v>392</v>
      </c>
      <c r="E4" s="11" t="s">
        <v>26</v>
      </c>
      <c r="F4" s="11" t="s">
        <v>380</v>
      </c>
      <c r="G4" s="11" t="s">
        <v>393</v>
      </c>
      <c r="H4" s="11" t="s">
        <v>34</v>
      </c>
      <c r="I4" s="11" t="s">
        <v>394</v>
      </c>
      <c r="J4" s="11" t="s">
        <v>395</v>
      </c>
      <c r="K4" s="11" t="s">
        <v>396</v>
      </c>
    </row>
    <row r="5" customFormat="false" ht="23.85" hidden="false" customHeight="false" outlineLevel="0" collapsed="false">
      <c r="A5" s="14" t="n">
        <v>1</v>
      </c>
      <c r="B5" s="13" t="s">
        <v>397</v>
      </c>
      <c r="C5" s="13" t="s">
        <v>95</v>
      </c>
      <c r="D5" s="29" t="n">
        <f aca="false">COUNTIF(Assessment!$D$5:$D$84,A5)</f>
        <v>1</v>
      </c>
      <c r="E5" s="29" t="n">
        <f aca="false">COUNTIFS(Assessment!$D$5:$D$84,A5,Assessment!$F$5:$F$84,"Implemented")</f>
        <v>0</v>
      </c>
      <c r="F5" s="29" t="n">
        <f aca="false">COUNTIFS(Assessment!$D$5:$D$84,A5,Assessment!$F$5:$F$84,"Partially Implemented")</f>
        <v>0</v>
      </c>
      <c r="G5" s="29" t="n">
        <f aca="false">COUNTIFS(Assessment!$D$5:$D$84,A5,Assessment!$F$5:$F$84,"Not Implemented")</f>
        <v>0</v>
      </c>
      <c r="H5" s="30" t="str">
        <f aca="false">IF((E5+F5+G5)=0,"",(E5+0.5*F5)/(E5+F5+G5))</f>
        <v/>
      </c>
      <c r="I5" s="18" t="str">
        <f aca="false">IF(H5="","Not assessed",IF(H5=1,"Met",IF(H5&gt;=0.5,"Partially met","Not met")))</f>
        <v>Not assessed</v>
      </c>
      <c r="J5" s="16"/>
      <c r="K5" s="16"/>
    </row>
    <row r="6" customFormat="false" ht="15" hidden="false" customHeight="false" outlineLevel="0" collapsed="false">
      <c r="A6" s="14" t="n">
        <v>2</v>
      </c>
      <c r="B6" s="13" t="s">
        <v>398</v>
      </c>
      <c r="C6" s="13" t="s">
        <v>399</v>
      </c>
      <c r="D6" s="29" t="n">
        <f aca="false">COUNTIF(Assessment!$D$5:$D$84,A6)</f>
        <v>2</v>
      </c>
      <c r="E6" s="29" t="n">
        <f aca="false">COUNTIFS(Assessment!$D$5:$D$84,A6,Assessment!$F$5:$F$84,"Implemented")</f>
        <v>0</v>
      </c>
      <c r="F6" s="29" t="n">
        <f aca="false">COUNTIFS(Assessment!$D$5:$D$84,A6,Assessment!$F$5:$F$84,"Partially Implemented")</f>
        <v>0</v>
      </c>
      <c r="G6" s="29" t="n">
        <f aca="false">COUNTIFS(Assessment!$D$5:$D$84,A6,Assessment!$F$5:$F$84,"Not Implemented")</f>
        <v>0</v>
      </c>
      <c r="H6" s="30" t="str">
        <f aca="false">IF((E6+F6+G6)=0,"",(E6+0.5*F6)/(E6+F6+G6))</f>
        <v/>
      </c>
      <c r="I6" s="18" t="str">
        <f aca="false">IF(H6="","Not assessed",IF(H6=1,"Met",IF(H6&gt;=0.5,"Partially met","Not met")))</f>
        <v>Not assessed</v>
      </c>
      <c r="J6" s="16"/>
      <c r="K6" s="16"/>
    </row>
    <row r="7" customFormat="false" ht="15" hidden="false" customHeight="false" outlineLevel="0" collapsed="false">
      <c r="A7" s="14" t="n">
        <v>3</v>
      </c>
      <c r="B7" s="13" t="s">
        <v>400</v>
      </c>
      <c r="C7" s="13" t="s">
        <v>401</v>
      </c>
      <c r="D7" s="29" t="n">
        <f aca="false">COUNTIF(Assessment!$D$5:$D$84,A7)</f>
        <v>4</v>
      </c>
      <c r="E7" s="29" t="n">
        <f aca="false">COUNTIFS(Assessment!$D$5:$D$84,A7,Assessment!$F$5:$F$84,"Implemented")</f>
        <v>0</v>
      </c>
      <c r="F7" s="29" t="n">
        <f aca="false">COUNTIFS(Assessment!$D$5:$D$84,A7,Assessment!$F$5:$F$84,"Partially Implemented")</f>
        <v>0</v>
      </c>
      <c r="G7" s="29" t="n">
        <f aca="false">COUNTIFS(Assessment!$D$5:$D$84,A7,Assessment!$F$5:$F$84,"Not Implemented")</f>
        <v>0</v>
      </c>
      <c r="H7" s="30" t="str">
        <f aca="false">IF((E7+F7+G7)=0,"",(E7+0.5*F7)/(E7+F7+G7))</f>
        <v/>
      </c>
      <c r="I7" s="18" t="str">
        <f aca="false">IF(H7="","Not assessed",IF(H7=1,"Met",IF(H7&gt;=0.5,"Partially met","Not met")))</f>
        <v>Not assessed</v>
      </c>
      <c r="J7" s="16"/>
      <c r="K7" s="16"/>
    </row>
    <row r="8" customFormat="false" ht="15" hidden="false" customHeight="false" outlineLevel="0" collapsed="false">
      <c r="A8" s="14" t="n">
        <v>4</v>
      </c>
      <c r="B8" s="13" t="s">
        <v>402</v>
      </c>
      <c r="C8" s="13" t="s">
        <v>403</v>
      </c>
      <c r="D8" s="29" t="n">
        <f aca="false">COUNTIF(Assessment!$D$5:$D$84,A8)</f>
        <v>3</v>
      </c>
      <c r="E8" s="29" t="n">
        <f aca="false">COUNTIFS(Assessment!$D$5:$D$84,A8,Assessment!$F$5:$F$84,"Implemented")</f>
        <v>0</v>
      </c>
      <c r="F8" s="29" t="n">
        <f aca="false">COUNTIFS(Assessment!$D$5:$D$84,A8,Assessment!$F$5:$F$84,"Partially Implemented")</f>
        <v>0</v>
      </c>
      <c r="G8" s="29" t="n">
        <f aca="false">COUNTIFS(Assessment!$D$5:$D$84,A8,Assessment!$F$5:$F$84,"Not Implemented")</f>
        <v>0</v>
      </c>
      <c r="H8" s="30" t="str">
        <f aca="false">IF((E8+F8+G8)=0,"",(E8+0.5*F8)/(E8+F8+G8))</f>
        <v/>
      </c>
      <c r="I8" s="18" t="str">
        <f aca="false">IF(H8="","Not assessed",IF(H8=1,"Met",IF(H8&gt;=0.5,"Partially met","Not met")))</f>
        <v>Not assessed</v>
      </c>
      <c r="J8" s="16"/>
      <c r="K8" s="16"/>
    </row>
    <row r="9" customFormat="false" ht="15" hidden="false" customHeight="false" outlineLevel="0" collapsed="false">
      <c r="A9" s="14" t="n">
        <v>5</v>
      </c>
      <c r="B9" s="13" t="s">
        <v>404</v>
      </c>
      <c r="C9" s="13" t="s">
        <v>405</v>
      </c>
      <c r="D9" s="29" t="n">
        <f aca="false">COUNTIF(Assessment!$D$5:$D$84,A9)</f>
        <v>4</v>
      </c>
      <c r="E9" s="29" t="n">
        <f aca="false">COUNTIFS(Assessment!$D$5:$D$84,A9,Assessment!$F$5:$F$84,"Implemented")</f>
        <v>0</v>
      </c>
      <c r="F9" s="29" t="n">
        <f aca="false">COUNTIFS(Assessment!$D$5:$D$84,A9,Assessment!$F$5:$F$84,"Partially Implemented")</f>
        <v>0</v>
      </c>
      <c r="G9" s="29" t="n">
        <f aca="false">COUNTIFS(Assessment!$D$5:$D$84,A9,Assessment!$F$5:$F$84,"Not Implemented")</f>
        <v>0</v>
      </c>
      <c r="H9" s="30" t="str">
        <f aca="false">IF((E9+F9+G9)=0,"",(E9+0.5*F9)/(E9+F9+G9))</f>
        <v/>
      </c>
      <c r="I9" s="18" t="str">
        <f aca="false">IF(H9="","Not assessed",IF(H9=1,"Met",IF(H9&gt;=0.5,"Partially met","Not met")))</f>
        <v>Not assessed</v>
      </c>
      <c r="J9" s="16"/>
      <c r="K9" s="16"/>
    </row>
    <row r="10" customFormat="false" ht="15" hidden="false" customHeight="false" outlineLevel="0" collapsed="false">
      <c r="A10" s="14" t="n">
        <v>6</v>
      </c>
      <c r="B10" s="13" t="s">
        <v>406</v>
      </c>
      <c r="C10" s="13" t="s">
        <v>407</v>
      </c>
      <c r="D10" s="29" t="n">
        <f aca="false">COUNTIF(Assessment!$D$5:$D$84,A10)</f>
        <v>4</v>
      </c>
      <c r="E10" s="29" t="n">
        <f aca="false">COUNTIFS(Assessment!$D$5:$D$84,A10,Assessment!$F$5:$F$84,"Implemented")</f>
        <v>0</v>
      </c>
      <c r="F10" s="29" t="n">
        <f aca="false">COUNTIFS(Assessment!$D$5:$D$84,A10,Assessment!$F$5:$F$84,"Partially Implemented")</f>
        <v>0</v>
      </c>
      <c r="G10" s="29" t="n">
        <f aca="false">COUNTIFS(Assessment!$D$5:$D$84,A10,Assessment!$F$5:$F$84,"Not Implemented")</f>
        <v>0</v>
      </c>
      <c r="H10" s="30" t="str">
        <f aca="false">IF((E10+F10+G10)=0,"",(E10+0.5*F10)/(E10+F10+G10))</f>
        <v/>
      </c>
      <c r="I10" s="18" t="str">
        <f aca="false">IF(H10="","Not assessed",IF(H10=1,"Met",IF(H10&gt;=0.5,"Partially met","Not met")))</f>
        <v>Not assessed</v>
      </c>
      <c r="J10" s="16"/>
      <c r="K10" s="16"/>
    </row>
    <row r="11" customFormat="false" ht="23.85" hidden="false" customHeight="false" outlineLevel="0" collapsed="false">
      <c r="A11" s="14" t="n">
        <v>7</v>
      </c>
      <c r="B11" s="13" t="s">
        <v>408</v>
      </c>
      <c r="C11" s="13" t="s">
        <v>409</v>
      </c>
      <c r="D11" s="29" t="n">
        <f aca="false">COUNTIF(Assessment!$D$5:$D$84,A11)</f>
        <v>8</v>
      </c>
      <c r="E11" s="29" t="n">
        <f aca="false">COUNTIFS(Assessment!$D$5:$D$84,A11,Assessment!$F$5:$F$84,"Implemented")</f>
        <v>0</v>
      </c>
      <c r="F11" s="29" t="n">
        <f aca="false">COUNTIFS(Assessment!$D$5:$D$84,A11,Assessment!$F$5:$F$84,"Partially Implemented")</f>
        <v>0</v>
      </c>
      <c r="G11" s="29" t="n">
        <f aca="false">COUNTIFS(Assessment!$D$5:$D$84,A11,Assessment!$F$5:$F$84,"Not Implemented")</f>
        <v>0</v>
      </c>
      <c r="H11" s="30" t="str">
        <f aca="false">IF((E11+F11+G11)=0,"",(E11+0.5*F11)/(E11+F11+G11))</f>
        <v/>
      </c>
      <c r="I11" s="18" t="str">
        <f aca="false">IF(H11="","Not assessed",IF(H11=1,"Met",IF(H11&gt;=0.5,"Partially met","Not met")))</f>
        <v>Not assessed</v>
      </c>
      <c r="J11" s="16"/>
      <c r="K11" s="16"/>
    </row>
    <row r="12" customFormat="false" ht="23.85" hidden="false" customHeight="false" outlineLevel="0" collapsed="false">
      <c r="A12" s="14" t="n">
        <v>8</v>
      </c>
      <c r="B12" s="13" t="s">
        <v>410</v>
      </c>
      <c r="C12" s="13" t="s">
        <v>411</v>
      </c>
      <c r="D12" s="29" t="n">
        <f aca="false">COUNTIF(Assessment!$D$5:$D$84,A12)</f>
        <v>5</v>
      </c>
      <c r="E12" s="29" t="n">
        <f aca="false">COUNTIFS(Assessment!$D$5:$D$84,A12,Assessment!$F$5:$F$84,"Implemented")</f>
        <v>0</v>
      </c>
      <c r="F12" s="29" t="n">
        <f aca="false">COUNTIFS(Assessment!$D$5:$D$84,A12,Assessment!$F$5:$F$84,"Partially Implemented")</f>
        <v>0</v>
      </c>
      <c r="G12" s="29" t="n">
        <f aca="false">COUNTIFS(Assessment!$D$5:$D$84,A12,Assessment!$F$5:$F$84,"Not Implemented")</f>
        <v>0</v>
      </c>
      <c r="H12" s="30" t="str">
        <f aca="false">IF((E12+F12+G12)=0,"",(E12+0.5*F12)/(E12+F12+G12))</f>
        <v/>
      </c>
      <c r="I12" s="18" t="str">
        <f aca="false">IF(H12="","Not assessed",IF(H12=1,"Met",IF(H12&gt;=0.5,"Partially met","Not met")))</f>
        <v>Not assessed</v>
      </c>
      <c r="J12" s="16"/>
      <c r="K12" s="16"/>
    </row>
    <row r="13" customFormat="false" ht="23.85" hidden="false" customHeight="false" outlineLevel="0" collapsed="false">
      <c r="A13" s="14" t="n">
        <v>9</v>
      </c>
      <c r="B13" s="13" t="s">
        <v>412</v>
      </c>
      <c r="C13" s="13" t="s">
        <v>413</v>
      </c>
      <c r="D13" s="29" t="n">
        <f aca="false">COUNTIF(Assessment!$D$5:$D$84,A13)</f>
        <v>8</v>
      </c>
      <c r="E13" s="29" t="n">
        <f aca="false">COUNTIFS(Assessment!$D$5:$D$84,A13,Assessment!$F$5:$F$84,"Implemented")</f>
        <v>0</v>
      </c>
      <c r="F13" s="29" t="n">
        <f aca="false">COUNTIFS(Assessment!$D$5:$D$84,A13,Assessment!$F$5:$F$84,"Partially Implemented")</f>
        <v>0</v>
      </c>
      <c r="G13" s="29" t="n">
        <f aca="false">COUNTIFS(Assessment!$D$5:$D$84,A13,Assessment!$F$5:$F$84,"Not Implemented")</f>
        <v>0</v>
      </c>
      <c r="H13" s="30" t="str">
        <f aca="false">IF((E13+F13+G13)=0,"",(E13+0.5*F13)/(E13+F13+G13))</f>
        <v/>
      </c>
      <c r="I13" s="18" t="str">
        <f aca="false">IF(H13="","Not assessed",IF(H13=1,"Met",IF(H13&gt;=0.5,"Partially met","Not met")))</f>
        <v>Not assessed</v>
      </c>
      <c r="J13" s="16"/>
      <c r="K13" s="16"/>
    </row>
    <row r="14" customFormat="false" ht="15" hidden="false" customHeight="false" outlineLevel="0" collapsed="false">
      <c r="A14" s="14" t="n">
        <v>10</v>
      </c>
      <c r="B14" s="13" t="s">
        <v>414</v>
      </c>
      <c r="C14" s="13" t="s">
        <v>415</v>
      </c>
      <c r="D14" s="29" t="n">
        <f aca="false">COUNTIF(Assessment!$D$5:$D$84,A14)</f>
        <v>3</v>
      </c>
      <c r="E14" s="29" t="n">
        <f aca="false">COUNTIFS(Assessment!$D$5:$D$84,A14,Assessment!$F$5:$F$84,"Implemented")</f>
        <v>0</v>
      </c>
      <c r="F14" s="29" t="n">
        <f aca="false">COUNTIFS(Assessment!$D$5:$D$84,A14,Assessment!$F$5:$F$84,"Partially Implemented")</f>
        <v>0</v>
      </c>
      <c r="G14" s="29" t="n">
        <f aca="false">COUNTIFS(Assessment!$D$5:$D$84,A14,Assessment!$F$5:$F$84,"Not Implemented")</f>
        <v>0</v>
      </c>
      <c r="H14" s="30" t="str">
        <f aca="false">IF((E14+F14+G14)=0,"",(E14+0.5*F14)/(E14+F14+G14))</f>
        <v/>
      </c>
      <c r="I14" s="18" t="str">
        <f aca="false">IF(H14="","Not assessed",IF(H14=1,"Met",IF(H14&gt;=0.5,"Partially met","Not met")))</f>
        <v>Not assessed</v>
      </c>
      <c r="J14" s="16"/>
      <c r="K14" s="16"/>
    </row>
    <row r="15" customFormat="false" ht="23.85" hidden="false" customHeight="false" outlineLevel="0" collapsed="false">
      <c r="A15" s="14" t="n">
        <v>11</v>
      </c>
      <c r="B15" s="13" t="s">
        <v>416</v>
      </c>
      <c r="C15" s="13" t="s">
        <v>417</v>
      </c>
      <c r="D15" s="29" t="n">
        <f aca="false">COUNTIF(Assessment!$D$5:$D$84,A15)</f>
        <v>5</v>
      </c>
      <c r="E15" s="29" t="n">
        <f aca="false">COUNTIFS(Assessment!$D$5:$D$84,A15,Assessment!$F$5:$F$84,"Implemented")</f>
        <v>0</v>
      </c>
      <c r="F15" s="29" t="n">
        <f aca="false">COUNTIFS(Assessment!$D$5:$D$84,A15,Assessment!$F$5:$F$84,"Partially Implemented")</f>
        <v>0</v>
      </c>
      <c r="G15" s="29" t="n">
        <f aca="false">COUNTIFS(Assessment!$D$5:$D$84,A15,Assessment!$F$5:$F$84,"Not Implemented")</f>
        <v>0</v>
      </c>
      <c r="H15" s="30" t="str">
        <f aca="false">IF((E15+F15+G15)=0,"",(E15+0.5*F15)/(E15+F15+G15))</f>
        <v/>
      </c>
      <c r="I15" s="18" t="str">
        <f aca="false">IF(H15="","Not assessed",IF(H15=1,"Met",IF(H15&gt;=0.5,"Partially met","Not met")))</f>
        <v>Not assessed</v>
      </c>
      <c r="J15" s="16"/>
      <c r="K15" s="16"/>
    </row>
    <row r="16" customFormat="false" ht="15" hidden="false" customHeight="false" outlineLevel="0" collapsed="false">
      <c r="A16" s="14" t="n">
        <v>12</v>
      </c>
      <c r="B16" s="13" t="s">
        <v>418</v>
      </c>
      <c r="C16" s="13" t="s">
        <v>419</v>
      </c>
      <c r="D16" s="29" t="n">
        <f aca="false">COUNTIF(Assessment!$D$5:$D$84,A16)</f>
        <v>3</v>
      </c>
      <c r="E16" s="29" t="n">
        <f aca="false">COUNTIFS(Assessment!$D$5:$D$84,A16,Assessment!$F$5:$F$84,"Implemented")</f>
        <v>0</v>
      </c>
      <c r="F16" s="29" t="n">
        <f aca="false">COUNTIFS(Assessment!$D$5:$D$84,A16,Assessment!$F$5:$F$84,"Partially Implemented")</f>
        <v>0</v>
      </c>
      <c r="G16" s="29" t="n">
        <f aca="false">COUNTIFS(Assessment!$D$5:$D$84,A16,Assessment!$F$5:$F$84,"Not Implemented")</f>
        <v>0</v>
      </c>
      <c r="H16" s="30" t="str">
        <f aca="false">IF((E16+F16+G16)=0,"",(E16+0.5*F16)/(E16+F16+G16))</f>
        <v/>
      </c>
      <c r="I16" s="18" t="str">
        <f aca="false">IF(H16="","Not assessed",IF(H16=1,"Met",IF(H16&gt;=0.5,"Partially met","Not met")))</f>
        <v>Not assessed</v>
      </c>
      <c r="J16" s="16"/>
      <c r="K16" s="16"/>
    </row>
    <row r="17" customFormat="false" ht="23.85" hidden="false" customHeight="false" outlineLevel="0" collapsed="false">
      <c r="A17" s="14" t="n">
        <v>13</v>
      </c>
      <c r="B17" s="13" t="s">
        <v>420</v>
      </c>
      <c r="C17" s="13" t="s">
        <v>421</v>
      </c>
      <c r="D17" s="29" t="n">
        <f aca="false">COUNTIF(Assessment!$D$5:$D$84,A17)</f>
        <v>8</v>
      </c>
      <c r="E17" s="29" t="n">
        <f aca="false">COUNTIFS(Assessment!$D$5:$D$84,A17,Assessment!$F$5:$F$84,"Implemented")</f>
        <v>0</v>
      </c>
      <c r="F17" s="29" t="n">
        <f aca="false">COUNTIFS(Assessment!$D$5:$D$84,A17,Assessment!$F$5:$F$84,"Partially Implemented")</f>
        <v>0</v>
      </c>
      <c r="G17" s="29" t="n">
        <f aca="false">COUNTIFS(Assessment!$D$5:$D$84,A17,Assessment!$F$5:$F$84,"Not Implemented")</f>
        <v>0</v>
      </c>
      <c r="H17" s="30" t="str">
        <f aca="false">IF((E17+F17+G17)=0,"",(E17+0.5*F17)/(E17+F17+G17))</f>
        <v/>
      </c>
      <c r="I17" s="18" t="str">
        <f aca="false">IF(H17="","Not assessed",IF(H17=1,"Met",IF(H17&gt;=0.5,"Partially met","Not met")))</f>
        <v>Not assessed</v>
      </c>
      <c r="J17" s="16"/>
      <c r="K17" s="16"/>
    </row>
    <row r="18" customFormat="false" ht="23.85" hidden="false" customHeight="false" outlineLevel="0" collapsed="false">
      <c r="A18" s="14" t="n">
        <v>14</v>
      </c>
      <c r="B18" s="13" t="s">
        <v>422</v>
      </c>
      <c r="C18" s="13" t="s">
        <v>423</v>
      </c>
      <c r="D18" s="29" t="n">
        <f aca="false">COUNTIF(Assessment!$D$5:$D$84,A18)</f>
        <v>2</v>
      </c>
      <c r="E18" s="29" t="n">
        <f aca="false">COUNTIFS(Assessment!$D$5:$D$84,A18,Assessment!$F$5:$F$84,"Implemented")</f>
        <v>0</v>
      </c>
      <c r="F18" s="29" t="n">
        <f aca="false">COUNTIFS(Assessment!$D$5:$D$84,A18,Assessment!$F$5:$F$84,"Partially Implemented")</f>
        <v>0</v>
      </c>
      <c r="G18" s="29" t="n">
        <f aca="false">COUNTIFS(Assessment!$D$5:$D$84,A18,Assessment!$F$5:$F$84,"Not Implemented")</f>
        <v>0</v>
      </c>
      <c r="H18" s="30" t="str">
        <f aca="false">IF((E18+F18+G18)=0,"",(E18+0.5*F18)/(E18+F18+G18))</f>
        <v/>
      </c>
      <c r="I18" s="18" t="str">
        <f aca="false">IF(H18="","Not assessed",IF(H18=1,"Met",IF(H18&gt;=0.5,"Partially met","Not met")))</f>
        <v>Not assessed</v>
      </c>
      <c r="J18" s="16"/>
      <c r="K18" s="16"/>
    </row>
    <row r="19" customFormat="false" ht="23.85" hidden="false" customHeight="false" outlineLevel="0" collapsed="false">
      <c r="A19" s="14" t="n">
        <v>15</v>
      </c>
      <c r="B19" s="13" t="s">
        <v>424</v>
      </c>
      <c r="C19" s="13" t="s">
        <v>425</v>
      </c>
      <c r="D19" s="29" t="n">
        <f aca="false">COUNTIF(Assessment!$D$5:$D$84,A19)</f>
        <v>7</v>
      </c>
      <c r="E19" s="29" t="n">
        <f aca="false">COUNTIFS(Assessment!$D$5:$D$84,A19,Assessment!$F$5:$F$84,"Implemented")</f>
        <v>0</v>
      </c>
      <c r="F19" s="29" t="n">
        <f aca="false">COUNTIFS(Assessment!$D$5:$D$84,A19,Assessment!$F$5:$F$84,"Partially Implemented")</f>
        <v>0</v>
      </c>
      <c r="G19" s="29" t="n">
        <f aca="false">COUNTIFS(Assessment!$D$5:$D$84,A19,Assessment!$F$5:$F$84,"Not Implemented")</f>
        <v>0</v>
      </c>
      <c r="H19" s="30" t="str">
        <f aca="false">IF((E19+F19+G19)=0,"",(E19+0.5*F19)/(E19+F19+G19))</f>
        <v/>
      </c>
      <c r="I19" s="18" t="str">
        <f aca="false">IF(H19="","Not assessed",IF(H19=1,"Met",IF(H19&gt;=0.5,"Partially met","Not met")))</f>
        <v>Not assessed</v>
      </c>
      <c r="J19" s="16"/>
      <c r="K19" s="16"/>
    </row>
    <row r="21" customFormat="false" ht="15" hidden="false" customHeight="false" outlineLevel="0" collapsed="false">
      <c r="A21" s="4" t="s">
        <v>426</v>
      </c>
      <c r="C21" s="4" t="str">
        <f aca="false">COUNTIF(I5:I19,"Met")&amp;" of "&amp;(15-COUNTIF(I5:I19,"Not assessed"))&amp;" assessed items"</f>
        <v>0 of 0 assessed items</v>
      </c>
    </row>
    <row r="22" customFormat="false" ht="15" hidden="false" customHeight="false" outlineLevel="0" collapsed="false">
      <c r="A22" s="28" t="s">
        <v>427</v>
      </c>
    </row>
  </sheetData>
  <conditionalFormatting sqref="I5:I19">
    <cfRule type="cellIs" priority="2" operator="equal" aboveAverage="0" equalAverage="0" bottom="0" percent="0" rank="0" text="" dxfId="13">
      <formula>"Met"</formula>
    </cfRule>
    <cfRule type="cellIs" priority="3" operator="equal" aboveAverage="0" equalAverage="0" bottom="0" percent="0" rank="0" text="" dxfId="14">
      <formula>"Partially met"</formula>
    </cfRule>
    <cfRule type="cellIs" priority="4" operator="equal" aboveAverage="0" equalAverage="0" bottom="0" percent="0" rank="0" text="" dxfId="15">
      <formula>"Not met"</formula>
    </cfRule>
  </conditionalFormatting>
  <conditionalFormatting sqref="J5:J19">
    <cfRule type="cellIs" priority="5" operator="equal" aboveAverage="0" equalAverage="0" bottom="0" percent="0" rank="0" text="" dxfId="13">
      <formula>"Met"</formula>
    </cfRule>
    <cfRule type="cellIs" priority="6" operator="equal" aboveAverage="0" equalAverage="0" bottom="0" percent="0" rank="0" text="" dxfId="14">
      <formula>"Partially met"</formula>
    </cfRule>
    <cfRule type="cellIs" priority="7" operator="equal" aboveAverage="0" equalAverage="0" bottom="0" percent="0" rank="0" text="" dxfId="15">
      <formula>"Not met"</formula>
    </cfRule>
  </conditionalFormatting>
  <dataValidations count="1">
    <dataValidation allowBlank="true" errorStyle="stop" operator="between" showDropDown="false" showErrorMessage="false" showInputMessage="false" sqref="J5:J19" type="list">
      <formula1>Lists!$E$1:$E$4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0"/>
    <col collapsed="false" customWidth="true" hidden="false" outlineLevel="0" max="3" min="3" style="0" width="40"/>
    <col collapsed="false" customWidth="true" hidden="false" outlineLevel="0" max="4" min="4" style="0" width="24"/>
    <col collapsed="false" customWidth="true" hidden="false" outlineLevel="0" max="8" min="5" style="0" width="11"/>
    <col collapsed="false" customWidth="true" hidden="false" outlineLevel="0" max="9" min="9" style="0" width="13"/>
    <col collapsed="false" customWidth="true" hidden="false" outlineLevel="0" max="10" min="10" style="0" width="52"/>
    <col collapsed="false" customWidth="true" hidden="false" outlineLevel="0" max="12" min="11" style="0" width="30"/>
  </cols>
  <sheetData>
    <row r="1" customFormat="false" ht="17.35" hidden="false" customHeight="false" outlineLevel="0" collapsed="false">
      <c r="A1" s="10" t="s">
        <v>428</v>
      </c>
    </row>
    <row r="2" customFormat="false" ht="15" hidden="false" customHeight="false" outlineLevel="0" collapsed="false">
      <c r="A2" s="2" t="s">
        <v>429</v>
      </c>
    </row>
    <row r="4" customFormat="false" ht="36" hidden="false" customHeight="true" outlineLevel="0" collapsed="false">
      <c r="A4" s="11" t="s">
        <v>430</v>
      </c>
      <c r="B4" s="11" t="s">
        <v>431</v>
      </c>
      <c r="C4" s="11" t="s">
        <v>432</v>
      </c>
      <c r="D4" s="11" t="s">
        <v>433</v>
      </c>
      <c r="E4" s="11" t="s">
        <v>434</v>
      </c>
      <c r="F4" s="11" t="s">
        <v>435</v>
      </c>
      <c r="G4" s="11" t="s">
        <v>436</v>
      </c>
      <c r="H4" s="11" t="s">
        <v>437</v>
      </c>
      <c r="I4" s="11" t="s">
        <v>438</v>
      </c>
      <c r="J4" s="11" t="s">
        <v>439</v>
      </c>
      <c r="K4" s="11" t="s">
        <v>440</v>
      </c>
      <c r="L4" s="11" t="s">
        <v>441</v>
      </c>
    </row>
    <row r="5" customFormat="false" ht="120" hidden="false" customHeight="true" outlineLevel="0" collapsed="false">
      <c r="A5" s="12" t="s">
        <v>442</v>
      </c>
      <c r="B5" s="13" t="s">
        <v>443</v>
      </c>
      <c r="C5" s="13" t="s">
        <v>444</v>
      </c>
      <c r="D5" s="16"/>
      <c r="E5" s="15" t="s">
        <v>445</v>
      </c>
      <c r="F5" s="15" t="s">
        <v>445</v>
      </c>
      <c r="G5" s="15" t="s">
        <v>445</v>
      </c>
      <c r="H5" s="15" t="s">
        <v>445</v>
      </c>
      <c r="I5" s="15" t="s">
        <v>445</v>
      </c>
      <c r="J5" s="13" t="s">
        <v>446</v>
      </c>
      <c r="K5" s="16"/>
      <c r="L5" s="16"/>
    </row>
    <row r="6" customFormat="false" ht="120" hidden="false" customHeight="true" outlineLevel="0" collapsed="false">
      <c r="A6" s="12" t="s">
        <v>447</v>
      </c>
      <c r="B6" s="13" t="s">
        <v>448</v>
      </c>
      <c r="C6" s="13" t="s">
        <v>449</v>
      </c>
      <c r="D6" s="16"/>
      <c r="E6" s="15" t="s">
        <v>450</v>
      </c>
      <c r="F6" s="15" t="s">
        <v>445</v>
      </c>
      <c r="G6" s="15" t="s">
        <v>450</v>
      </c>
      <c r="H6" s="15" t="s">
        <v>445</v>
      </c>
      <c r="I6" s="15" t="s">
        <v>450</v>
      </c>
      <c r="J6" s="13" t="s">
        <v>451</v>
      </c>
      <c r="K6" s="16"/>
      <c r="L6" s="16"/>
    </row>
    <row r="7" customFormat="false" ht="120" hidden="false" customHeight="true" outlineLevel="0" collapsed="false">
      <c r="A7" s="12" t="s">
        <v>452</v>
      </c>
      <c r="B7" s="13" t="s">
        <v>453</v>
      </c>
      <c r="C7" s="13" t="s">
        <v>454</v>
      </c>
      <c r="D7" s="16"/>
      <c r="E7" s="15" t="s">
        <v>450</v>
      </c>
      <c r="F7" s="15" t="s">
        <v>450</v>
      </c>
      <c r="G7" s="15" t="s">
        <v>450</v>
      </c>
      <c r="H7" s="15" t="s">
        <v>455</v>
      </c>
      <c r="I7" s="15" t="s">
        <v>450</v>
      </c>
      <c r="J7" s="13" t="s">
        <v>456</v>
      </c>
      <c r="K7" s="16"/>
      <c r="L7" s="16"/>
    </row>
    <row r="8" customFormat="false" ht="120" hidden="false" customHeight="true" outlineLevel="0" collapsed="false">
      <c r="A8" s="12" t="s">
        <v>457</v>
      </c>
      <c r="B8" s="13" t="s">
        <v>458</v>
      </c>
      <c r="C8" s="13" t="s">
        <v>459</v>
      </c>
      <c r="D8" s="16"/>
      <c r="E8" s="15" t="s">
        <v>460</v>
      </c>
      <c r="F8" s="15" t="s">
        <v>460</v>
      </c>
      <c r="G8" s="15" t="s">
        <v>460</v>
      </c>
      <c r="H8" s="15" t="s">
        <v>460</v>
      </c>
      <c r="I8" s="15" t="s">
        <v>460</v>
      </c>
      <c r="J8" s="13" t="s">
        <v>461</v>
      </c>
      <c r="K8" s="16"/>
      <c r="L8" s="16"/>
    </row>
    <row r="10" customFormat="false" ht="15" hidden="false" customHeight="false" outlineLevel="0" collapsed="false">
      <c r="A10" s="28" t="s">
        <v>462</v>
      </c>
    </row>
  </sheetData>
  <dataValidations count="1">
    <dataValidation allowBlank="true" errorStyle="stop" operator="between" showDropDown="false" showErrorMessage="false" showInputMessage="false" sqref="E5:I8" type="list">
      <formula1>"Yes,No,Conditional,Redacted only"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26</v>
      </c>
      <c r="B1" s="0" t="n">
        <v>0</v>
      </c>
      <c r="C1" s="0" t="s">
        <v>98</v>
      </c>
      <c r="E1" s="0" t="s">
        <v>463</v>
      </c>
    </row>
    <row r="2" customFormat="false" ht="15" hidden="false" customHeight="false" outlineLevel="0" collapsed="false">
      <c r="A2" s="0" t="s">
        <v>28</v>
      </c>
      <c r="B2" s="0" t="n">
        <v>1</v>
      </c>
      <c r="C2" s="0" t="s">
        <v>120</v>
      </c>
      <c r="E2" s="0" t="s">
        <v>464</v>
      </c>
    </row>
    <row r="3" customFormat="false" ht="15" hidden="false" customHeight="false" outlineLevel="0" collapsed="false">
      <c r="A3" s="0" t="s">
        <v>30</v>
      </c>
      <c r="B3" s="0" t="n">
        <v>2</v>
      </c>
      <c r="C3" s="0" t="s">
        <v>465</v>
      </c>
      <c r="E3" s="0" t="s">
        <v>466</v>
      </c>
    </row>
    <row r="4" customFormat="false" ht="15" hidden="false" customHeight="false" outlineLevel="0" collapsed="false">
      <c r="A4" s="0" t="s">
        <v>32</v>
      </c>
      <c r="B4" s="0" t="n">
        <v>3</v>
      </c>
      <c r="E4" s="0" t="s">
        <v>467</v>
      </c>
    </row>
    <row r="5" customFormat="false" ht="15" hidden="false" customHeight="false" outlineLevel="0" collapsed="false">
      <c r="B5" s="0" t="n">
        <v>4</v>
      </c>
    </row>
    <row r="6" customFormat="false" ht="15" hidden="false" customHeight="false" outlineLevel="0" collapsed="false">
      <c r="B6" s="0"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2026-10-25T11:39:55Z</dcterms:created>
  <dc:creator>openpyxl</dc:creator>
  <dc:description/>
  <dc:language>en-US</dc:language>
  <cp:lastModifiedBy/>
  <dcterms:modified xsi:type="dcterms:W3CDTF">2026-10-25T08:39:57Z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